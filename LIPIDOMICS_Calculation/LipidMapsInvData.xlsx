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Redox-DHRS7_subcellular\LIPIDOMICS_Calculation\"/>
    </mc:Choice>
  </mc:AlternateContent>
  <xr:revisionPtr revIDLastSave="0" documentId="13_ncr:1_{8F4B372B-A5FA-4841-ADE7-11C5B44E4AC2}" xr6:coauthVersionLast="47" xr6:coauthVersionMax="47" xr10:uidLastSave="{00000000-0000-0000-0000-000000000000}"/>
  <bookViews>
    <workbookView xWindow="12105" yWindow="2220" windowWidth="38700" windowHeight="15345" xr2:uid="{E5471A1B-BC7E-4CB8-BAD3-9E5C4A6BAB04}"/>
  </bookViews>
  <sheets>
    <sheet name="LipidMapsSD data" sheetId="1" r:id="rId1"/>
    <sheet name="Sample_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P3" i="1" s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2" i="1"/>
  <c r="N4" i="1"/>
  <c r="P4" i="1" s="1"/>
  <c r="N5" i="1"/>
  <c r="P5" i="1" s="1"/>
  <c r="N6" i="1"/>
  <c r="P6" i="1" s="1"/>
  <c r="N7" i="1"/>
  <c r="P7" i="1" s="1"/>
  <c r="N8" i="1"/>
  <c r="P8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2" i="1"/>
  <c r="P2" i="1" s="1"/>
</calcChain>
</file>

<file path=xl/sharedStrings.xml><?xml version="1.0" encoding="utf-8"?>
<sst xmlns="http://schemas.openxmlformats.org/spreadsheetml/2006/main" count="165" uniqueCount="133">
  <si>
    <t>bicyclo PGE2</t>
  </si>
  <si>
    <t>PGD2</t>
  </si>
  <si>
    <t>8-iso-15k PGF2b</t>
  </si>
  <si>
    <t>15-oxoETE</t>
  </si>
  <si>
    <t>12-HHTrE</t>
  </si>
  <si>
    <t>PGF2a</t>
  </si>
  <si>
    <t>dihomo PGF2a</t>
  </si>
  <si>
    <t>tetranor-PGFM</t>
  </si>
  <si>
    <t>5-oxoETE</t>
  </si>
  <si>
    <t>8,9-EET</t>
  </si>
  <si>
    <t>12-oxoETE</t>
  </si>
  <si>
    <t>PGE3</t>
  </si>
  <si>
    <t>15-HETE</t>
  </si>
  <si>
    <t>11-HETE</t>
  </si>
  <si>
    <t>5,6-diHETrE</t>
  </si>
  <si>
    <t>13 HDoHE</t>
  </si>
  <si>
    <t>PGJ2</t>
  </si>
  <si>
    <t>Free Arachidonic Acid</t>
  </si>
  <si>
    <t>19,20-DiHDPA</t>
  </si>
  <si>
    <t>9-HEPE</t>
  </si>
  <si>
    <t>Free Adrenic Acid</t>
  </si>
  <si>
    <t>8-HEPE</t>
  </si>
  <si>
    <t>PGE2</t>
  </si>
  <si>
    <t>14,15-diHETrE</t>
  </si>
  <si>
    <t>7,17 dHDPA</t>
  </si>
  <si>
    <t>6k PGF1a</t>
  </si>
  <si>
    <t>FreeDHA</t>
  </si>
  <si>
    <t>11-HEPE</t>
  </si>
  <si>
    <t>15-oxoEDE</t>
  </si>
  <si>
    <t>5-HEPE</t>
  </si>
  <si>
    <t>PGE1</t>
  </si>
  <si>
    <t>8-HETE</t>
  </si>
  <si>
    <t>18-HEPE</t>
  </si>
  <si>
    <t>17-HETE</t>
  </si>
  <si>
    <t xml:space="preserve"> 8-iso PGF3a</t>
  </si>
  <si>
    <t xml:space="preserve"> 13-oxoODE</t>
  </si>
  <si>
    <t>11,12-EET</t>
  </si>
  <si>
    <t>5-HETE</t>
  </si>
  <si>
    <t>12oxo LTB4</t>
  </si>
  <si>
    <t>20 HDoHE</t>
  </si>
  <si>
    <t>19(20)-EpDPE</t>
  </si>
  <si>
    <t>11 HDoHE</t>
  </si>
  <si>
    <t>9-HOTrE</t>
  </si>
  <si>
    <t>LTB4</t>
  </si>
  <si>
    <t>7 HDoHE</t>
  </si>
  <si>
    <t>10 HDoHE</t>
  </si>
  <si>
    <t>11,12-diHETrE</t>
  </si>
  <si>
    <t>17 HDoHE</t>
  </si>
  <si>
    <t>8-iso PGF2a III</t>
  </si>
  <si>
    <t>5,6-EET</t>
  </si>
  <si>
    <t>PGF1a</t>
  </si>
  <si>
    <t>Free EPA</t>
  </si>
  <si>
    <t>14,15-EET</t>
  </si>
  <si>
    <t>12,13-diHOME</t>
  </si>
  <si>
    <t>9,10-diHOME</t>
  </si>
  <si>
    <t>12-HEPE</t>
  </si>
  <si>
    <t>LXA5</t>
  </si>
  <si>
    <t>8-HETrE</t>
  </si>
  <si>
    <t>TxB2</t>
  </si>
  <si>
    <t>13-HODE</t>
  </si>
  <si>
    <t>8,15-diHETE</t>
  </si>
  <si>
    <t>4 HDoHE</t>
  </si>
  <si>
    <t>15-HETrE</t>
  </si>
  <si>
    <t>18-HETE</t>
  </si>
  <si>
    <t>9-HETE</t>
  </si>
  <si>
    <t>15d PGD2</t>
  </si>
  <si>
    <t>17(18)-EpETE</t>
  </si>
  <si>
    <t>16(17)-EpDPE</t>
  </si>
  <si>
    <t>14 HDoHE</t>
  </si>
  <si>
    <t>8,9-diHETrE</t>
  </si>
  <si>
    <t>12-HETE</t>
  </si>
  <si>
    <t>PGB2</t>
  </si>
  <si>
    <t>17k DPA</t>
  </si>
  <si>
    <t>9,10-EpOME</t>
  </si>
  <si>
    <t>9-oxoODE</t>
  </si>
  <si>
    <t>5,15-diHETE</t>
  </si>
  <si>
    <t>15-HEPE</t>
  </si>
  <si>
    <t>13-HOTrE(y)</t>
  </si>
  <si>
    <t>13-HOTrE</t>
  </si>
  <si>
    <t>9-HODE</t>
  </si>
  <si>
    <t>16 HDoHE</t>
  </si>
  <si>
    <t>12,13-EpOME</t>
  </si>
  <si>
    <t>5,12-diHETE</t>
  </si>
  <si>
    <t>8 HDoHE</t>
  </si>
  <si>
    <t>MeanFold</t>
  </si>
  <si>
    <t>Ttest</t>
  </si>
  <si>
    <t>Lipid</t>
  </si>
  <si>
    <t>WT_F1</t>
  </si>
  <si>
    <t>WT_F2</t>
  </si>
  <si>
    <t>WT_F3</t>
  </si>
  <si>
    <t>WT_M1</t>
  </si>
  <si>
    <t>WT_M2</t>
  </si>
  <si>
    <t>WT_M3</t>
  </si>
  <si>
    <t>KO_F1</t>
  </si>
  <si>
    <t>KO_F2</t>
  </si>
  <si>
    <t>KO_F3</t>
  </si>
  <si>
    <t>KO_M1</t>
  </si>
  <si>
    <t>KO_M2</t>
  </si>
  <si>
    <t>KO_M3</t>
  </si>
  <si>
    <t>DataColumn</t>
  </si>
  <si>
    <t>OriginalHeader</t>
  </si>
  <si>
    <t>SampleID</t>
  </si>
  <si>
    <t>Genotype</t>
  </si>
  <si>
    <t>Sex</t>
  </si>
  <si>
    <t>Replicate</t>
  </si>
  <si>
    <t>B</t>
  </si>
  <si>
    <t>Wt_1</t>
  </si>
  <si>
    <t>WT</t>
  </si>
  <si>
    <t>Female</t>
  </si>
  <si>
    <t>C</t>
  </si>
  <si>
    <t>Wt_2</t>
  </si>
  <si>
    <t>D</t>
  </si>
  <si>
    <t>Wt_3</t>
  </si>
  <si>
    <t>E</t>
  </si>
  <si>
    <t>Wt_4</t>
  </si>
  <si>
    <t>Male</t>
  </si>
  <si>
    <t>F</t>
  </si>
  <si>
    <t>Wt_5</t>
  </si>
  <si>
    <t>G</t>
  </si>
  <si>
    <t>Wt_6</t>
  </si>
  <si>
    <t>H</t>
  </si>
  <si>
    <t>KO_1</t>
  </si>
  <si>
    <t>KO</t>
  </si>
  <si>
    <t>I</t>
  </si>
  <si>
    <t>KO_2</t>
  </si>
  <si>
    <t>J</t>
  </si>
  <si>
    <t>KO_3</t>
  </si>
  <si>
    <t>K</t>
  </si>
  <si>
    <t>KO_4</t>
  </si>
  <si>
    <t>L</t>
  </si>
  <si>
    <t>KO_5</t>
  </si>
  <si>
    <t>M</t>
  </si>
  <si>
    <t>KO_6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</si>
</sst>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6">
    <border>
      <left/>
      <right/>
      <top/>
      <bottom/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/>
      <bottom style="medium">
        <color rgb="FFD9E2F3"/>
      </bottom>
      <diagonal/>
    </border>
    <border>
      <left/>
      <right/>
      <top/>
      <bottom style="medium">
        <color rgb="FFA6A6A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8FDE-0323-4021-94E0-248ED5B47E2F}">
  <dimension ref="A1:P85"/>
  <sheetViews>
    <sheetView tabSelected="1" workbookViewId="0"/>
  </sheetViews>
  <sheetFormatPr defaultRowHeight="15" x14ac:dyDescent="0.25"/>
  <cols>
    <col min="1" max="1" width="15.85546875" customWidth="1"/>
  </cols>
  <sheetData>
    <row r="1" spans="1:16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84</v>
      </c>
      <c r="O1" t="s">
        <v>85</v>
      </c>
    </row>
    <row r="2" spans="1:16" s="1" customFormat="1" x14ac:dyDescent="0.25">
      <c r="A2" s="1" t="s">
        <v>0</v>
      </c>
      <c r="B2" s="1">
        <v>8.1393297237842069E-3</v>
      </c>
      <c r="C2" s="1">
        <v>1.3801487112881015E-2</v>
      </c>
      <c r="D2" s="1">
        <v>1.4732438799978573E-2</v>
      </c>
      <c r="E2" s="1">
        <v>9.0342438773668623E-3</v>
      </c>
      <c r="F2" s="1">
        <v>7.7429892990585978E-3</v>
      </c>
      <c r="G2" s="1">
        <v>8.411180093555147E-3</v>
      </c>
      <c r="H2" s="1">
        <v>6.0995786625816411E-3</v>
      </c>
      <c r="I2" s="1">
        <v>4.3192909239349207E-3</v>
      </c>
      <c r="J2" s="1">
        <v>1.9819809716822567E-3</v>
      </c>
      <c r="K2" s="1">
        <v>3.9902160449155457E-3</v>
      </c>
      <c r="L2" s="1">
        <v>7.5993990516143905E-3</v>
      </c>
      <c r="M2" s="1">
        <v>3.372923616491609E-3</v>
      </c>
      <c r="N2" s="1">
        <f t="shared" ref="N2:N33" si="0">AVERAGE(H2:M2)/AVERAGE(B2:G2)</f>
        <v>0.44233189558017522</v>
      </c>
      <c r="O2" s="1">
        <f t="shared" ref="O2:O33" si="1">TTEST(H2:M2,B2:G2,2,3)</f>
        <v>4.5738631145687087E-3</v>
      </c>
      <c r="P2" s="1">
        <f t="shared" ref="P2:P33" si="2">(N2-1)*100</f>
        <v>-55.766810441982486</v>
      </c>
    </row>
    <row r="3" spans="1:16" s="1" customFormat="1" x14ac:dyDescent="0.25">
      <c r="A3" s="1" t="s">
        <v>1</v>
      </c>
      <c r="B3" s="1">
        <v>1.6207883931278196E-2</v>
      </c>
      <c r="C3" s="1">
        <v>1.088516001287541E-2</v>
      </c>
      <c r="D3" s="1">
        <v>1.3228363339128404E-2</v>
      </c>
      <c r="E3" s="1">
        <v>1.5371561045980425E-2</v>
      </c>
      <c r="F3" s="1">
        <v>1.4455994995783105E-2</v>
      </c>
      <c r="G3" s="1">
        <v>1.3859342102391444E-2</v>
      </c>
      <c r="H3" s="1">
        <v>1.078607711744938E-2</v>
      </c>
      <c r="I3" s="1">
        <v>1.0223248342950832E-2</v>
      </c>
      <c r="J3" s="1">
        <v>8.0774819031473079E-3</v>
      </c>
      <c r="K3" s="1">
        <v>1.1943467778754437E-2</v>
      </c>
      <c r="L3" s="1">
        <v>8.2337846235167982E-3</v>
      </c>
      <c r="M3" s="1">
        <v>1.2500187848899051E-2</v>
      </c>
      <c r="N3" s="1">
        <f t="shared" si="0"/>
        <v>0.73521596823622748</v>
      </c>
      <c r="O3" s="1">
        <f t="shared" si="1"/>
        <v>6.0368674505838493E-3</v>
      </c>
      <c r="P3" s="1">
        <f t="shared" si="2"/>
        <v>-26.478403176377252</v>
      </c>
    </row>
    <row r="4" spans="1:16" s="1" customFormat="1" x14ac:dyDescent="0.25">
      <c r="A4" s="1" t="s">
        <v>2</v>
      </c>
      <c r="B4" s="1">
        <v>4.0155384308904273E-2</v>
      </c>
      <c r="C4" s="1">
        <v>3.9632491649866368E-2</v>
      </c>
      <c r="D4" s="1">
        <v>4.5204042298702327E-2</v>
      </c>
      <c r="E4" s="1">
        <v>5.1608244008581182E-2</v>
      </c>
      <c r="F4" s="1">
        <v>5.4315880210270513E-2</v>
      </c>
      <c r="G4" s="1">
        <v>4.8831438745927276E-2</v>
      </c>
      <c r="H4" s="1">
        <v>3.5890646836229854E-2</v>
      </c>
      <c r="I4" s="1">
        <v>1.4925468631975665E-2</v>
      </c>
      <c r="J4" s="1">
        <v>3.0834844841378384E-2</v>
      </c>
      <c r="K4" s="1">
        <v>2.5253562706614194E-2</v>
      </c>
      <c r="L4" s="1">
        <v>4.3889288187825871E-2</v>
      </c>
      <c r="M4" s="1">
        <v>3.0494366730685899E-2</v>
      </c>
      <c r="N4" s="1">
        <f t="shared" si="0"/>
        <v>0.64804221701170994</v>
      </c>
      <c r="O4" s="1">
        <f t="shared" si="1"/>
        <v>7.6022821411070671E-3</v>
      </c>
      <c r="P4" s="1">
        <f t="shared" si="2"/>
        <v>-35.195778298829005</v>
      </c>
    </row>
    <row r="5" spans="1:16" s="1" customFormat="1" x14ac:dyDescent="0.25">
      <c r="A5" s="1" t="s">
        <v>3</v>
      </c>
      <c r="B5" s="1">
        <v>3.9775861077476202E-2</v>
      </c>
      <c r="C5" s="1">
        <v>2.7423283760604718E-2</v>
      </c>
      <c r="D5" s="1">
        <v>2.3557846764290312E-2</v>
      </c>
      <c r="E5" s="1">
        <v>4.1186743971359074E-2</v>
      </c>
      <c r="F5" s="1">
        <v>2.9730401923330686E-2</v>
      </c>
      <c r="G5" s="1">
        <v>2.5702197001163347E-2</v>
      </c>
      <c r="H5" s="1">
        <v>2.5172993300419513E-2</v>
      </c>
      <c r="I5" s="1">
        <v>2.2136645653087095E-2</v>
      </c>
      <c r="J5" s="1">
        <v>1.9488341164664726E-2</v>
      </c>
      <c r="K5" s="1">
        <v>2.0304029364356765E-2</v>
      </c>
      <c r="L5" s="1">
        <v>1.9216412312522854E-2</v>
      </c>
      <c r="M5" s="1">
        <v>1.7926669503796022E-2</v>
      </c>
      <c r="N5" s="1">
        <f t="shared" si="0"/>
        <v>0.66307781946724109</v>
      </c>
      <c r="O5" s="1">
        <f t="shared" si="1"/>
        <v>1.6433145743730407E-2</v>
      </c>
      <c r="P5" s="1">
        <f t="shared" si="2"/>
        <v>-33.692218053275894</v>
      </c>
    </row>
    <row r="6" spans="1:16" s="1" customFormat="1" x14ac:dyDescent="0.25">
      <c r="A6" s="1" t="s">
        <v>4</v>
      </c>
      <c r="B6" s="1">
        <v>0.57852300075674468</v>
      </c>
      <c r="C6" s="1">
        <v>0.4414432740418669</v>
      </c>
      <c r="D6" s="1">
        <v>0.5543381040629729</v>
      </c>
      <c r="E6" s="1">
        <v>0.96748422598781381</v>
      </c>
      <c r="F6" s="1">
        <v>0.71035061460081728</v>
      </c>
      <c r="G6" s="1">
        <v>0.61046359613461942</v>
      </c>
      <c r="H6" s="1">
        <v>0.36276094984508228</v>
      </c>
      <c r="I6" s="1">
        <v>0.32519739593357927</v>
      </c>
      <c r="J6" s="1">
        <v>0.25930178260856085</v>
      </c>
      <c r="K6" s="1">
        <v>0.49268839336872999</v>
      </c>
      <c r="L6" s="1">
        <v>0.49192887588634393</v>
      </c>
      <c r="M6" s="1">
        <v>0.42612166749074021</v>
      </c>
      <c r="N6" s="1">
        <f t="shared" si="0"/>
        <v>0.61046894483144343</v>
      </c>
      <c r="O6" s="1">
        <f t="shared" si="1"/>
        <v>1.7973681443416732E-2</v>
      </c>
      <c r="P6" s="1">
        <f t="shared" si="2"/>
        <v>-38.953105516855658</v>
      </c>
    </row>
    <row r="7" spans="1:16" s="1" customFormat="1" x14ac:dyDescent="0.25">
      <c r="A7" s="1" t="s">
        <v>5</v>
      </c>
      <c r="B7" s="1">
        <v>9.7547339204568179E-2</v>
      </c>
      <c r="C7" s="1">
        <v>6.7686332425964127E-2</v>
      </c>
      <c r="D7" s="1">
        <v>6.610693678846695E-2</v>
      </c>
      <c r="E7" s="1">
        <v>0.11127889614347837</v>
      </c>
      <c r="F7" s="1">
        <v>8.1183423473390845E-2</v>
      </c>
      <c r="G7" s="1">
        <v>7.4568170467756156E-2</v>
      </c>
      <c r="H7" s="1">
        <v>7.2062802396178349E-2</v>
      </c>
      <c r="I7" s="1">
        <v>5.2828498656240563E-2</v>
      </c>
      <c r="J7" s="1">
        <v>4.1597681096068616E-2</v>
      </c>
      <c r="K7" s="1">
        <v>7.32522903764595E-2</v>
      </c>
      <c r="L7" s="1">
        <v>6.2527255890216502E-2</v>
      </c>
      <c r="M7" s="1">
        <v>4.3772896449833183E-2</v>
      </c>
      <c r="N7" s="1">
        <f t="shared" si="0"/>
        <v>0.69434488858603016</v>
      </c>
      <c r="O7" s="1">
        <f t="shared" si="1"/>
        <v>2.1604643506710413E-2</v>
      </c>
      <c r="P7" s="1">
        <f t="shared" si="2"/>
        <v>-30.565511141396982</v>
      </c>
    </row>
    <row r="8" spans="1:16" s="1" customFormat="1" x14ac:dyDescent="0.25">
      <c r="A8" s="1" t="s">
        <v>6</v>
      </c>
      <c r="B8" s="1">
        <v>1.2606575514520517E-3</v>
      </c>
      <c r="C8" s="1">
        <v>2.205888091213545E-3</v>
      </c>
      <c r="D8" s="1">
        <v>1.5921803506294106E-3</v>
      </c>
      <c r="E8" s="1">
        <v>1.1860080348981969E-3</v>
      </c>
      <c r="F8" s="1">
        <v>1.1581332559662783E-3</v>
      </c>
      <c r="G8" s="1">
        <v>7.5944100897771551E-4</v>
      </c>
      <c r="H8" s="1">
        <v>9.3693354665961182E-4</v>
      </c>
      <c r="I8" s="1">
        <v>9.2619526036848772E-4</v>
      </c>
      <c r="J8" s="1">
        <v>0</v>
      </c>
      <c r="K8" s="1">
        <v>8.7500063812709741E-4</v>
      </c>
      <c r="L8" s="1">
        <v>6.8865664316459564E-4</v>
      </c>
      <c r="M8" s="1">
        <v>8.1565129462496779E-4</v>
      </c>
      <c r="N8" s="1">
        <f t="shared" si="0"/>
        <v>0.51975951294461253</v>
      </c>
      <c r="O8" s="1">
        <f t="shared" si="1"/>
        <v>2.7059917810220387E-2</v>
      </c>
      <c r="P8" s="1">
        <f t="shared" si="2"/>
        <v>-48.024048705538746</v>
      </c>
    </row>
    <row r="9" spans="1:16" s="1" customFormat="1" x14ac:dyDescent="0.25">
      <c r="A9" s="1" t="s">
        <v>7</v>
      </c>
      <c r="B9" s="1">
        <v>8.690991030053264E-4</v>
      </c>
      <c r="C9" s="1">
        <v>5.7871030902799207E-4</v>
      </c>
      <c r="D9" s="1">
        <v>1.0645103866943188E-3</v>
      </c>
      <c r="E9" s="1">
        <v>9.2271674906924529E-4</v>
      </c>
      <c r="F9" s="1">
        <v>1.271743413926987E-3</v>
      </c>
      <c r="G9" s="1">
        <v>7.3398163826980797E-4</v>
      </c>
      <c r="H9" s="1">
        <v>8.7550636969065099E-4</v>
      </c>
      <c r="I9" s="1">
        <v>0</v>
      </c>
      <c r="J9" s="1">
        <v>5.6806570475968494E-4</v>
      </c>
      <c r="K9" s="1">
        <v>5.7202134373038815E-4</v>
      </c>
      <c r="L9" s="1">
        <v>5.6381236651651334E-4</v>
      </c>
      <c r="M9" s="1">
        <v>5.2065144211760773E-4</v>
      </c>
      <c r="N9" s="1">
        <f t="shared" si="0"/>
        <v>0.56978369109546123</v>
      </c>
      <c r="O9" s="1">
        <f t="shared" si="1"/>
        <v>2.9229627635611859E-2</v>
      </c>
      <c r="P9" s="1">
        <f t="shared" si="2"/>
        <v>-43.021630890453878</v>
      </c>
    </row>
    <row r="10" spans="1:16" s="1" customFormat="1" x14ac:dyDescent="0.25">
      <c r="A10" s="1" t="s">
        <v>8</v>
      </c>
      <c r="B10" s="1">
        <v>5.5732262128680439E-2</v>
      </c>
      <c r="C10" s="1">
        <v>3.2783282276762811E-2</v>
      </c>
      <c r="D10" s="1">
        <v>2.7397599159771458E-2</v>
      </c>
      <c r="E10" s="1">
        <v>3.963829653016334E-2</v>
      </c>
      <c r="F10" s="1">
        <v>3.0263113905719029E-2</v>
      </c>
      <c r="G10" s="1">
        <v>2.5198082172605652E-2</v>
      </c>
      <c r="H10" s="1">
        <v>9.6817046502653908E-2</v>
      </c>
      <c r="I10" s="1">
        <v>3.1731603660601015E-2</v>
      </c>
      <c r="J10" s="1">
        <v>5.1500071749745177E-2</v>
      </c>
      <c r="K10" s="1">
        <v>8.9146607684584253E-2</v>
      </c>
      <c r="L10" s="1">
        <v>9.5989150845586818E-2</v>
      </c>
      <c r="M10" s="1">
        <v>4.7096457254366869E-2</v>
      </c>
      <c r="N10" s="1">
        <f t="shared" si="0"/>
        <v>1.9538210847152959</v>
      </c>
      <c r="O10" s="1">
        <f t="shared" si="1"/>
        <v>3.3959064508322798E-2</v>
      </c>
      <c r="P10" s="1">
        <f t="shared" si="2"/>
        <v>95.382108471529591</v>
      </c>
    </row>
    <row r="11" spans="1:16" x14ac:dyDescent="0.25">
      <c r="A11" t="s">
        <v>9</v>
      </c>
      <c r="B11">
        <v>1.8792588675359607E-2</v>
      </c>
      <c r="C11">
        <v>2.026614650537667E-2</v>
      </c>
      <c r="D11">
        <v>1.8562227379500876E-2</v>
      </c>
      <c r="E11">
        <v>6.9915982483656935E-2</v>
      </c>
      <c r="F11">
        <v>3.2907759559716358E-2</v>
      </c>
      <c r="G11">
        <v>5.3875242261449144E-2</v>
      </c>
      <c r="H11">
        <v>1.4046691083526536E-2</v>
      </c>
      <c r="I11">
        <v>2.1908377074066818E-2</v>
      </c>
      <c r="J11">
        <v>9.3062957876330794E-3</v>
      </c>
      <c r="K11">
        <v>1.0627260922965644E-2</v>
      </c>
      <c r="L11">
        <v>1.785268161401388E-2</v>
      </c>
      <c r="M11">
        <v>8.4465060605720659E-3</v>
      </c>
      <c r="N11">
        <f t="shared" si="0"/>
        <v>0.38348186319085464</v>
      </c>
      <c r="O11">
        <f t="shared" si="1"/>
        <v>5.4177091851804374E-2</v>
      </c>
      <c r="P11" s="1">
        <f t="shared" si="2"/>
        <v>-61.651813680914536</v>
      </c>
    </row>
    <row r="12" spans="1:16" x14ac:dyDescent="0.25">
      <c r="A12" t="s">
        <v>10</v>
      </c>
      <c r="B12">
        <v>1.2559215861484714</v>
      </c>
      <c r="C12">
        <v>1.0310240340460113</v>
      </c>
      <c r="D12">
        <v>0.82876356551957164</v>
      </c>
      <c r="E12">
        <v>1.8350839118637412</v>
      </c>
      <c r="F12">
        <v>1.0404425907227874</v>
      </c>
      <c r="G12">
        <v>1.0216642785509678</v>
      </c>
      <c r="H12">
        <v>0.66304179390585805</v>
      </c>
      <c r="I12">
        <v>0.77543922578813784</v>
      </c>
      <c r="J12">
        <v>0.43988269471193286</v>
      </c>
      <c r="K12">
        <v>0.69943907112474257</v>
      </c>
      <c r="L12">
        <v>1.3791052420347971</v>
      </c>
      <c r="M12">
        <v>0.62904851358702973</v>
      </c>
      <c r="N12">
        <f t="shared" si="0"/>
        <v>0.65393154940599685</v>
      </c>
      <c r="O12">
        <f t="shared" si="1"/>
        <v>6.5023880998148834E-2</v>
      </c>
      <c r="P12" s="1">
        <f t="shared" si="2"/>
        <v>-34.606845059400314</v>
      </c>
    </row>
    <row r="13" spans="1:16" x14ac:dyDescent="0.25">
      <c r="A13" t="s">
        <v>11</v>
      </c>
      <c r="B13">
        <v>7.2904111182471674E-3</v>
      </c>
      <c r="C13">
        <v>7.0272512550436554E-3</v>
      </c>
      <c r="D13">
        <v>4.8629400539829887E-3</v>
      </c>
      <c r="E13">
        <v>9.9650142759131182E-3</v>
      </c>
      <c r="F13">
        <v>7.0083257370139179E-3</v>
      </c>
      <c r="G13">
        <v>5.017147334094375E-3</v>
      </c>
      <c r="H13">
        <v>6.207757365270526E-3</v>
      </c>
      <c r="I13">
        <v>5.4403563402430286E-3</v>
      </c>
      <c r="J13">
        <v>2.8113063158027489E-3</v>
      </c>
      <c r="K13">
        <v>4.4778200786680135E-3</v>
      </c>
      <c r="L13">
        <v>6.5427341595301666E-3</v>
      </c>
      <c r="M13">
        <v>4.1566519684947852E-3</v>
      </c>
      <c r="N13">
        <f t="shared" si="0"/>
        <v>0.71984070352474883</v>
      </c>
      <c r="O13">
        <f t="shared" si="1"/>
        <v>7.2582206757422843E-2</v>
      </c>
      <c r="P13" s="1">
        <f t="shared" si="2"/>
        <v>-28.015929647525116</v>
      </c>
    </row>
    <row r="14" spans="1:16" x14ac:dyDescent="0.25">
      <c r="A14" t="s">
        <v>12</v>
      </c>
      <c r="B14">
        <v>7.0591080037850182E-2</v>
      </c>
      <c r="C14">
        <v>4.7656295168980192E-2</v>
      </c>
      <c r="D14">
        <v>4.2158115280165435E-2</v>
      </c>
      <c r="E14">
        <v>5.3145424086811034E-2</v>
      </c>
      <c r="F14">
        <v>5.4081474687984639E-2</v>
      </c>
      <c r="G14">
        <v>3.6534523496850622E-2</v>
      </c>
      <c r="H14">
        <v>5.3982767143655616E-2</v>
      </c>
      <c r="I14">
        <v>3.5846687919699048E-2</v>
      </c>
      <c r="J14">
        <v>3.4295590327150065E-2</v>
      </c>
      <c r="K14">
        <v>3.8227016556019545E-2</v>
      </c>
      <c r="L14">
        <v>4.0512761831204364E-2</v>
      </c>
      <c r="M14">
        <v>3.1453569526902314E-2</v>
      </c>
      <c r="N14">
        <f t="shared" si="0"/>
        <v>0.77036121772575472</v>
      </c>
      <c r="O14">
        <f t="shared" si="1"/>
        <v>7.6896247891765385E-2</v>
      </c>
      <c r="P14" s="1">
        <f t="shared" si="2"/>
        <v>-22.963878227424527</v>
      </c>
    </row>
    <row r="15" spans="1:16" x14ac:dyDescent="0.25">
      <c r="A15" t="s">
        <v>13</v>
      </c>
      <c r="B15">
        <v>0.13974403197717605</v>
      </c>
      <c r="C15">
        <v>9.052838726983789E-2</v>
      </c>
      <c r="D15">
        <v>7.5628094381492178E-2</v>
      </c>
      <c r="E15">
        <v>0.11974688156323027</v>
      </c>
      <c r="F15">
        <v>8.9633688648848311E-2</v>
      </c>
      <c r="G15">
        <v>7.9856932406679945E-2</v>
      </c>
      <c r="H15">
        <v>8.3777753312934661E-2</v>
      </c>
      <c r="I15">
        <v>7.6457420875273255E-2</v>
      </c>
      <c r="J15">
        <v>5.405096542355798E-2</v>
      </c>
      <c r="K15">
        <v>8.2734364912960628E-2</v>
      </c>
      <c r="L15">
        <v>9.6494924943586552E-2</v>
      </c>
      <c r="M15">
        <v>5.7063666606141698E-2</v>
      </c>
      <c r="N15">
        <f t="shared" si="0"/>
        <v>0.75710017470510693</v>
      </c>
      <c r="O15">
        <f t="shared" si="1"/>
        <v>8.2754436323635022E-2</v>
      </c>
      <c r="P15" s="1">
        <f t="shared" si="2"/>
        <v>-24.289982529489308</v>
      </c>
    </row>
    <row r="16" spans="1:16" x14ac:dyDescent="0.25">
      <c r="A16" t="s">
        <v>14</v>
      </c>
      <c r="B16">
        <v>9.7377548312537171E-4</v>
      </c>
      <c r="C16">
        <v>0</v>
      </c>
      <c r="D16">
        <v>0</v>
      </c>
      <c r="E16">
        <v>5.622981471287092E-4</v>
      </c>
      <c r="F16">
        <v>5.4500966341538442E-4</v>
      </c>
      <c r="G16">
        <v>6.8184075172475077E-4</v>
      </c>
      <c r="H16">
        <v>6.0290507694097805E-4</v>
      </c>
      <c r="I16">
        <v>0</v>
      </c>
      <c r="J16">
        <v>0</v>
      </c>
      <c r="K16">
        <v>0</v>
      </c>
      <c r="L16">
        <v>0</v>
      </c>
      <c r="M16">
        <v>0</v>
      </c>
      <c r="N16">
        <f t="shared" si="0"/>
        <v>0.21821268592092441</v>
      </c>
      <c r="O16">
        <f t="shared" si="1"/>
        <v>8.9423811418932422E-2</v>
      </c>
      <c r="P16" s="1">
        <f t="shared" si="2"/>
        <v>-78.178731407907563</v>
      </c>
    </row>
    <row r="17" spans="1:16" x14ac:dyDescent="0.25">
      <c r="A17" t="s">
        <v>15</v>
      </c>
      <c r="B17">
        <v>9.2234068191112212E-2</v>
      </c>
      <c r="C17">
        <v>8.1785108530912878E-2</v>
      </c>
      <c r="D17">
        <v>7.1562873271483252E-2</v>
      </c>
      <c r="E17">
        <v>0.11182003676458123</v>
      </c>
      <c r="F17">
        <v>8.4216930051009803E-2</v>
      </c>
      <c r="G17">
        <v>7.4270971401425648E-2</v>
      </c>
      <c r="H17">
        <v>8.8141577182501318E-2</v>
      </c>
      <c r="I17">
        <v>6.4794788179651328E-2</v>
      </c>
      <c r="J17">
        <v>5.8287171829587474E-2</v>
      </c>
      <c r="K17">
        <v>7.6799843868631229E-2</v>
      </c>
      <c r="L17">
        <v>8.24765897048923E-2</v>
      </c>
      <c r="M17">
        <v>5.3248387982554143E-2</v>
      </c>
      <c r="N17">
        <f t="shared" si="0"/>
        <v>0.82139287140981321</v>
      </c>
      <c r="O17">
        <f t="shared" si="1"/>
        <v>9.2653956142413008E-2</v>
      </c>
      <c r="P17" s="1">
        <f t="shared" si="2"/>
        <v>-17.86071285901868</v>
      </c>
    </row>
    <row r="18" spans="1:16" x14ac:dyDescent="0.25">
      <c r="A18" t="s">
        <v>16</v>
      </c>
      <c r="B18">
        <v>2.2126557977494186E-3</v>
      </c>
      <c r="C18">
        <v>1.7945829591412795E-3</v>
      </c>
      <c r="D18">
        <v>1.3039655750245994E-3</v>
      </c>
      <c r="E18">
        <v>3.0547121736948352E-3</v>
      </c>
      <c r="F18">
        <v>1.7168194723697395E-3</v>
      </c>
      <c r="G18">
        <v>1.7469377634712769E-3</v>
      </c>
      <c r="H18">
        <v>1.8160633242877812E-3</v>
      </c>
      <c r="I18">
        <v>9.2766875550580818E-4</v>
      </c>
      <c r="J18">
        <v>1.5923501541346844E-3</v>
      </c>
      <c r="K18">
        <v>1.4578183770976082E-3</v>
      </c>
      <c r="L18">
        <v>1.7172362951551655E-3</v>
      </c>
      <c r="M18">
        <v>1.0788562599123354E-3</v>
      </c>
      <c r="N18">
        <f t="shared" si="0"/>
        <v>0.72613948227448299</v>
      </c>
      <c r="O18">
        <f t="shared" si="1"/>
        <v>9.5497547511594075E-2</v>
      </c>
      <c r="P18" s="1">
        <f t="shared" si="2"/>
        <v>-27.386051772551699</v>
      </c>
    </row>
    <row r="19" spans="1:16" x14ac:dyDescent="0.25">
      <c r="A19" t="s">
        <v>17</v>
      </c>
      <c r="B19">
        <v>101.86071926733911</v>
      </c>
      <c r="C19">
        <v>94.164290954912516</v>
      </c>
      <c r="D19">
        <v>86.91848008126982</v>
      </c>
      <c r="E19">
        <v>110.30339611716215</v>
      </c>
      <c r="F19">
        <v>110.21473349057328</v>
      </c>
      <c r="G19">
        <v>82.354982746748178</v>
      </c>
      <c r="H19">
        <v>105.99329515898657</v>
      </c>
      <c r="I19">
        <v>71.796117930324371</v>
      </c>
      <c r="J19">
        <v>74.142637034771681</v>
      </c>
      <c r="K19">
        <v>97.789903888695548</v>
      </c>
      <c r="L19">
        <v>72.823306036032918</v>
      </c>
      <c r="M19">
        <v>83.102670217743025</v>
      </c>
      <c r="N19">
        <f t="shared" si="0"/>
        <v>0.86315056277390489</v>
      </c>
      <c r="O19">
        <f t="shared" si="1"/>
        <v>0.11129553649030294</v>
      </c>
      <c r="P19" s="1">
        <f t="shared" si="2"/>
        <v>-13.684943722609511</v>
      </c>
    </row>
    <row r="20" spans="1:16" x14ac:dyDescent="0.25">
      <c r="A20" t="s">
        <v>18</v>
      </c>
      <c r="B20">
        <v>1.9328756520952148E-2</v>
      </c>
      <c r="C20">
        <v>1.5909401778319003E-2</v>
      </c>
      <c r="D20">
        <v>1.3333274734793033E-2</v>
      </c>
      <c r="E20">
        <v>2.6582036306549775E-2</v>
      </c>
      <c r="F20">
        <v>2.3317321860662227E-2</v>
      </c>
      <c r="G20">
        <v>1.8312218868435398E-2</v>
      </c>
      <c r="H20">
        <v>1.6049985579255195E-2</v>
      </c>
      <c r="I20">
        <v>1.2368056578841069E-2</v>
      </c>
      <c r="J20">
        <v>1.1997642462547196E-2</v>
      </c>
      <c r="K20">
        <v>1.8262282281414868E-2</v>
      </c>
      <c r="L20">
        <v>1.8831954433215531E-2</v>
      </c>
      <c r="M20">
        <v>1.4978948828220007E-2</v>
      </c>
      <c r="N20">
        <f t="shared" si="0"/>
        <v>0.79197196671231762</v>
      </c>
      <c r="O20">
        <f t="shared" si="1"/>
        <v>0.11544743900550038</v>
      </c>
      <c r="P20" s="1">
        <f t="shared" si="2"/>
        <v>-20.802803328768238</v>
      </c>
    </row>
    <row r="21" spans="1:16" x14ac:dyDescent="0.25">
      <c r="A21" t="s">
        <v>19</v>
      </c>
      <c r="B21">
        <v>0.61373017056141643</v>
      </c>
      <c r="C21">
        <v>0.45627250988356632</v>
      </c>
      <c r="D21">
        <v>0.38027147654567184</v>
      </c>
      <c r="E21">
        <v>0.39815244706408859</v>
      </c>
      <c r="F21">
        <v>0.44346378168068229</v>
      </c>
      <c r="G21">
        <v>0.33445985355025881</v>
      </c>
      <c r="H21">
        <v>0.72848662326764035</v>
      </c>
      <c r="I21">
        <v>0.39431372788022395</v>
      </c>
      <c r="J21">
        <v>0.45031058672557134</v>
      </c>
      <c r="K21">
        <v>0.64700442950579851</v>
      </c>
      <c r="L21">
        <v>0.71170242507108228</v>
      </c>
      <c r="M21">
        <v>0.44594242842905668</v>
      </c>
      <c r="N21">
        <f t="shared" si="0"/>
        <v>1.2861042561475189</v>
      </c>
      <c r="O21">
        <f t="shared" si="1"/>
        <v>0.12045487038439209</v>
      </c>
      <c r="P21" s="1">
        <f t="shared" si="2"/>
        <v>28.61042561475189</v>
      </c>
    </row>
    <row r="22" spans="1:16" x14ac:dyDescent="0.25">
      <c r="A22" t="s">
        <v>20</v>
      </c>
      <c r="B22">
        <v>10.764753093981952</v>
      </c>
      <c r="C22">
        <v>10.21064641118879</v>
      </c>
      <c r="D22">
        <v>9.5803618604748237</v>
      </c>
      <c r="E22">
        <v>5.3805126573031785</v>
      </c>
      <c r="F22">
        <v>14.04479614198481</v>
      </c>
      <c r="G22">
        <v>5.5123988143522658</v>
      </c>
      <c r="H22">
        <v>9.2038229945110608</v>
      </c>
      <c r="I22">
        <v>6.294226106365441</v>
      </c>
      <c r="J22">
        <v>3.8867859402557663</v>
      </c>
      <c r="K22">
        <v>6.5876818492402203</v>
      </c>
      <c r="L22">
        <v>7.9738201203687247</v>
      </c>
      <c r="M22">
        <v>5.2492688727206502</v>
      </c>
      <c r="N22">
        <f t="shared" si="0"/>
        <v>0.70631024883473226</v>
      </c>
      <c r="O22">
        <f t="shared" si="1"/>
        <v>0.12050388049550413</v>
      </c>
      <c r="P22" s="1">
        <f t="shared" si="2"/>
        <v>-29.368975116526773</v>
      </c>
    </row>
    <row r="23" spans="1:16" x14ac:dyDescent="0.25">
      <c r="A23" t="s">
        <v>21</v>
      </c>
      <c r="B23">
        <v>2.0945040363421339</v>
      </c>
      <c r="C23">
        <v>1.4170867134396574</v>
      </c>
      <c r="D23">
        <v>1.4854901996594745</v>
      </c>
      <c r="E23">
        <v>1.3378875220723472</v>
      </c>
      <c r="F23">
        <v>1.2229547623627712</v>
      </c>
      <c r="G23">
        <v>1.063066859450688</v>
      </c>
      <c r="H23">
        <v>3.5152106251773727</v>
      </c>
      <c r="I23">
        <v>1.1285319442844168</v>
      </c>
      <c r="J23">
        <v>1.797863410713008</v>
      </c>
      <c r="K23">
        <v>2.2159614471861744</v>
      </c>
      <c r="L23">
        <v>2.1325597773348326</v>
      </c>
      <c r="M23">
        <v>1.6295607929845877</v>
      </c>
      <c r="N23">
        <f t="shared" si="0"/>
        <v>1.4406336004600722</v>
      </c>
      <c r="O23">
        <f t="shared" si="1"/>
        <v>0.12334755350461878</v>
      </c>
      <c r="P23" s="1">
        <f t="shared" si="2"/>
        <v>44.063360046007219</v>
      </c>
    </row>
    <row r="24" spans="1:16" x14ac:dyDescent="0.25">
      <c r="A24" t="s">
        <v>22</v>
      </c>
      <c r="B24">
        <v>0.46022115686491294</v>
      </c>
      <c r="C24">
        <v>0.34506521151459441</v>
      </c>
      <c r="D24">
        <v>0.2954140265564143</v>
      </c>
      <c r="E24">
        <v>0.51815172520981523</v>
      </c>
      <c r="F24">
        <v>0.39511029665933389</v>
      </c>
      <c r="G24">
        <v>0.32733456756204754</v>
      </c>
      <c r="H24">
        <v>0.33833262200020797</v>
      </c>
      <c r="I24">
        <v>0.24670544911354669</v>
      </c>
      <c r="J24">
        <v>0.18232479462912837</v>
      </c>
      <c r="K24">
        <v>0.32526209834472825</v>
      </c>
      <c r="L24">
        <v>0.4706208726336969</v>
      </c>
      <c r="M24">
        <v>0.2573408969624566</v>
      </c>
      <c r="N24">
        <f t="shared" si="0"/>
        <v>0.77759752215966405</v>
      </c>
      <c r="O24">
        <f t="shared" si="1"/>
        <v>0.13670043927591025</v>
      </c>
      <c r="P24" s="1">
        <f t="shared" si="2"/>
        <v>-22.240247784033595</v>
      </c>
    </row>
    <row r="25" spans="1:16" x14ac:dyDescent="0.25">
      <c r="A25" t="s">
        <v>23</v>
      </c>
      <c r="B25">
        <v>1.0216230876969974E-2</v>
      </c>
      <c r="C25">
        <v>7.5471247921964921E-3</v>
      </c>
      <c r="D25">
        <v>7.5462497518024021E-3</v>
      </c>
      <c r="E25">
        <v>1.4824959002666825E-2</v>
      </c>
      <c r="F25">
        <v>1.1425256471045739E-2</v>
      </c>
      <c r="G25">
        <v>1.0759041029873597E-2</v>
      </c>
      <c r="H25">
        <v>1.0015385316851267E-2</v>
      </c>
      <c r="I25">
        <v>7.540633322099758E-3</v>
      </c>
      <c r="J25">
        <v>5.8632654433039572E-3</v>
      </c>
      <c r="K25">
        <v>9.9328933498674596E-3</v>
      </c>
      <c r="L25">
        <v>8.2772103015501461E-3</v>
      </c>
      <c r="M25">
        <v>8.0492766857731424E-3</v>
      </c>
      <c r="N25">
        <f t="shared" si="0"/>
        <v>0.79716899322693202</v>
      </c>
      <c r="O25">
        <f t="shared" si="1"/>
        <v>0.13894817123313744</v>
      </c>
      <c r="P25" s="1">
        <f t="shared" si="2"/>
        <v>-20.283100677306798</v>
      </c>
    </row>
    <row r="26" spans="1:16" x14ac:dyDescent="0.25">
      <c r="A26" t="s">
        <v>24</v>
      </c>
      <c r="B26">
        <v>2.3675491780072281E-2</v>
      </c>
      <c r="C26">
        <v>1.6755456707826927E-2</v>
      </c>
      <c r="D26">
        <v>1.5949522204227278E-2</v>
      </c>
      <c r="E26">
        <v>3.1185035765146432E-2</v>
      </c>
      <c r="F26">
        <v>2.5665548593136238E-2</v>
      </c>
      <c r="G26">
        <v>2.3227599550228632E-2</v>
      </c>
      <c r="H26">
        <v>1.8622002330924987E-2</v>
      </c>
      <c r="I26">
        <v>1.4831948622698904E-2</v>
      </c>
      <c r="J26">
        <v>1.4952437667203226E-2</v>
      </c>
      <c r="K26">
        <v>2.1323648335217636E-2</v>
      </c>
      <c r="L26">
        <v>2.3163779419917933E-2</v>
      </c>
      <c r="M26">
        <v>1.734089730840635E-2</v>
      </c>
      <c r="N26">
        <f t="shared" si="0"/>
        <v>0.80782500755986364</v>
      </c>
      <c r="O26">
        <f t="shared" si="1"/>
        <v>0.14459986011572515</v>
      </c>
      <c r="P26" s="1">
        <f t="shared" si="2"/>
        <v>-19.217499244013638</v>
      </c>
    </row>
    <row r="27" spans="1:16" x14ac:dyDescent="0.25">
      <c r="A27" t="s">
        <v>25</v>
      </c>
      <c r="B27">
        <v>8.2798732479624007E-2</v>
      </c>
      <c r="C27">
        <v>5.7859642957537177E-2</v>
      </c>
      <c r="D27">
        <v>5.2567640344179524E-2</v>
      </c>
      <c r="E27">
        <v>0.11027962954536924</v>
      </c>
      <c r="F27">
        <v>8.6693958291526471E-2</v>
      </c>
      <c r="G27">
        <v>7.0054669816711476E-2</v>
      </c>
      <c r="H27">
        <v>5.331031606540635E-2</v>
      </c>
      <c r="I27">
        <v>4.409515218653328E-2</v>
      </c>
      <c r="J27">
        <v>3.3707503605104445E-2</v>
      </c>
      <c r="K27">
        <v>6.727102187974314E-2</v>
      </c>
      <c r="L27">
        <v>9.5035003633944556E-2</v>
      </c>
      <c r="M27">
        <v>5.2903457725687907E-2</v>
      </c>
      <c r="N27">
        <f t="shared" si="0"/>
        <v>0.75245896689184932</v>
      </c>
      <c r="O27">
        <f t="shared" si="1"/>
        <v>0.1535079539653296</v>
      </c>
      <c r="P27" s="1">
        <f t="shared" si="2"/>
        <v>-24.754103310815069</v>
      </c>
    </row>
    <row r="28" spans="1:16" x14ac:dyDescent="0.25">
      <c r="A28" t="s">
        <v>26</v>
      </c>
      <c r="B28">
        <v>87.41354516274491</v>
      </c>
      <c r="C28">
        <v>76.656795543155809</v>
      </c>
      <c r="D28">
        <v>68.923169265791302</v>
      </c>
      <c r="E28">
        <v>79.312578224180967</v>
      </c>
      <c r="F28">
        <v>88.130814440836318</v>
      </c>
      <c r="G28">
        <v>63.070072716580505</v>
      </c>
      <c r="H28">
        <v>85.022853712279328</v>
      </c>
      <c r="I28">
        <v>56.975266668246135</v>
      </c>
      <c r="J28">
        <v>62.477532475736297</v>
      </c>
      <c r="K28">
        <v>76.931233676730486</v>
      </c>
      <c r="L28">
        <v>60.855858866891992</v>
      </c>
      <c r="M28">
        <v>66.870675002598944</v>
      </c>
      <c r="N28">
        <f t="shared" si="0"/>
        <v>0.88269096725165241</v>
      </c>
      <c r="O28">
        <f t="shared" si="1"/>
        <v>0.16034467210033398</v>
      </c>
      <c r="P28" s="1">
        <f t="shared" si="2"/>
        <v>-11.730903274834759</v>
      </c>
    </row>
    <row r="29" spans="1:16" x14ac:dyDescent="0.25">
      <c r="A29" t="s">
        <v>27</v>
      </c>
      <c r="B29">
        <v>7.8829244671113005E-2</v>
      </c>
      <c r="C29">
        <v>6.149232208966466E-2</v>
      </c>
      <c r="D29">
        <v>6.2697189627452854E-2</v>
      </c>
      <c r="E29">
        <v>6.954213457962502E-2</v>
      </c>
      <c r="F29">
        <v>6.3157743407007125E-2</v>
      </c>
      <c r="G29">
        <v>6.4317819043297517E-2</v>
      </c>
      <c r="H29">
        <v>0.11161962694882853</v>
      </c>
      <c r="I29">
        <v>5.5645649745962457E-2</v>
      </c>
      <c r="J29">
        <v>7.2539249506048203E-2</v>
      </c>
      <c r="K29">
        <v>9.5747077383082982E-2</v>
      </c>
      <c r="L29">
        <v>7.1664050993031067E-2</v>
      </c>
      <c r="M29">
        <v>7.1713468194793503E-2</v>
      </c>
      <c r="N29">
        <f t="shared" si="0"/>
        <v>1.1972137006002292</v>
      </c>
      <c r="O29">
        <f t="shared" si="1"/>
        <v>0.17940837864294351</v>
      </c>
      <c r="P29" s="1">
        <f t="shared" si="2"/>
        <v>19.721370060022924</v>
      </c>
    </row>
    <row r="30" spans="1:16" x14ac:dyDescent="0.25">
      <c r="A30" t="s">
        <v>28</v>
      </c>
      <c r="B30">
        <v>3.7578390315702996E-3</v>
      </c>
      <c r="C30">
        <v>2.8530944134661312E-3</v>
      </c>
      <c r="D30">
        <v>2.7082679236942716E-3</v>
      </c>
      <c r="E30">
        <v>2.3628160980832574E-3</v>
      </c>
      <c r="F30">
        <v>2.3671108109167014E-3</v>
      </c>
      <c r="G30">
        <v>2.22863273976056E-3</v>
      </c>
      <c r="H30">
        <v>2.9781439276899981E-3</v>
      </c>
      <c r="I30">
        <v>2.3568432435878534E-3</v>
      </c>
      <c r="J30">
        <v>2.1034367444619619E-3</v>
      </c>
      <c r="K30">
        <v>1.6334473831699098E-3</v>
      </c>
      <c r="L30">
        <v>2.7427316336382226E-3</v>
      </c>
      <c r="M30">
        <v>1.8448376422660429E-3</v>
      </c>
      <c r="N30">
        <f t="shared" si="0"/>
        <v>0.83914738397598276</v>
      </c>
      <c r="O30">
        <f t="shared" si="1"/>
        <v>0.19331461204227873</v>
      </c>
      <c r="P30" s="1">
        <f t="shared" si="2"/>
        <v>-16.085261602401722</v>
      </c>
    </row>
    <row r="31" spans="1:16" x14ac:dyDescent="0.25">
      <c r="A31" t="s">
        <v>29</v>
      </c>
      <c r="B31">
        <v>0.8480224627817764</v>
      </c>
      <c r="C31">
        <v>0.56291224963024955</v>
      </c>
      <c r="D31">
        <v>0.43759998876643896</v>
      </c>
      <c r="E31">
        <v>0.62447293956944294</v>
      </c>
      <c r="F31">
        <v>0.30617706549741447</v>
      </c>
      <c r="G31">
        <v>0.37288402024151734</v>
      </c>
      <c r="H31">
        <v>1.0707890111756773</v>
      </c>
      <c r="I31">
        <v>0.40929775100791116</v>
      </c>
      <c r="J31">
        <v>0.57924595149023606</v>
      </c>
      <c r="K31">
        <v>0.79529256890227218</v>
      </c>
      <c r="L31">
        <v>1.3430692836174021</v>
      </c>
      <c r="M31">
        <v>0.41541042439706583</v>
      </c>
      <c r="N31">
        <f t="shared" si="0"/>
        <v>1.4635166269779061</v>
      </c>
      <c r="O31">
        <f t="shared" si="1"/>
        <v>0.20095150431506839</v>
      </c>
      <c r="P31" s="1">
        <f t="shared" si="2"/>
        <v>46.351662697790609</v>
      </c>
    </row>
    <row r="32" spans="1:16" x14ac:dyDescent="0.25">
      <c r="A32" t="s">
        <v>30</v>
      </c>
      <c r="B32">
        <v>2.9872826742853662E-3</v>
      </c>
      <c r="C32">
        <v>3.9955269810003592E-3</v>
      </c>
      <c r="D32">
        <v>4.4875421045141627E-3</v>
      </c>
      <c r="E32">
        <v>1.7758309438556373E-3</v>
      </c>
      <c r="F32">
        <v>1.8628642993070413E-3</v>
      </c>
      <c r="G32">
        <v>1.6135326387599514E-3</v>
      </c>
      <c r="H32">
        <v>2.2185307279987592E-3</v>
      </c>
      <c r="I32">
        <v>2.2723658086869825E-3</v>
      </c>
      <c r="J32">
        <v>2.3144389469142729E-3</v>
      </c>
      <c r="K32">
        <v>1.2012734035546596E-3</v>
      </c>
      <c r="L32">
        <v>2.6725756205755544E-3</v>
      </c>
      <c r="M32">
        <v>1.5996897488306668E-3</v>
      </c>
      <c r="N32">
        <f t="shared" si="0"/>
        <v>0.73426914505016561</v>
      </c>
      <c r="O32">
        <f t="shared" si="1"/>
        <v>0.22169064157072407</v>
      </c>
      <c r="P32" s="1">
        <f t="shared" si="2"/>
        <v>-26.573085494983438</v>
      </c>
    </row>
    <row r="33" spans="1:16" x14ac:dyDescent="0.25">
      <c r="A33" t="s">
        <v>31</v>
      </c>
      <c r="B33">
        <v>0.67044116775471074</v>
      </c>
      <c r="C33">
        <v>0.512399864545795</v>
      </c>
      <c r="D33">
        <v>0.47748100634296059</v>
      </c>
      <c r="E33">
        <v>0.43667072225542725</v>
      </c>
      <c r="F33">
        <v>0.45126381897725193</v>
      </c>
      <c r="G33">
        <v>0.36520224918901484</v>
      </c>
      <c r="H33">
        <v>0.97756917084693729</v>
      </c>
      <c r="I33">
        <v>0.35943809321298537</v>
      </c>
      <c r="J33">
        <v>0.50958706236146623</v>
      </c>
      <c r="K33">
        <v>0.69844086955038809</v>
      </c>
      <c r="L33">
        <v>0.71445294184729657</v>
      </c>
      <c r="M33">
        <v>0.45636181759482269</v>
      </c>
      <c r="N33">
        <f t="shared" si="0"/>
        <v>1.2754084314986527</v>
      </c>
      <c r="O33">
        <f t="shared" si="1"/>
        <v>0.22469330049077774</v>
      </c>
      <c r="P33" s="1">
        <f t="shared" si="2"/>
        <v>27.540843149865267</v>
      </c>
    </row>
    <row r="34" spans="1:16" x14ac:dyDescent="0.25">
      <c r="A34" t="s">
        <v>32</v>
      </c>
      <c r="B34">
        <v>6.914025110529988E-2</v>
      </c>
      <c r="C34">
        <v>5.7012147413228347E-2</v>
      </c>
      <c r="D34">
        <v>6.1769383325732119E-2</v>
      </c>
      <c r="E34">
        <v>6.9132331371665565E-2</v>
      </c>
      <c r="F34">
        <v>6.8708700575574572E-2</v>
      </c>
      <c r="G34">
        <v>5.4200523006994877E-2</v>
      </c>
      <c r="H34">
        <v>0.10979366886056051</v>
      </c>
      <c r="I34">
        <v>4.8872731504513323E-2</v>
      </c>
      <c r="J34">
        <v>7.1485455422804142E-2</v>
      </c>
      <c r="K34">
        <v>8.8958850115458732E-2</v>
      </c>
      <c r="L34">
        <v>6.5289567841012655E-2</v>
      </c>
      <c r="M34">
        <v>6.7608008660870161E-2</v>
      </c>
      <c r="N34">
        <f t="shared" ref="N34:N65" si="3">AVERAGE(H34:M34)/AVERAGE(B34:G34)</f>
        <v>1.1896102561203989</v>
      </c>
      <c r="O34">
        <f t="shared" ref="O34:O65" si="4">TTEST(H34:M34,B34:G34,2,3)</f>
        <v>0.23415125629723466</v>
      </c>
      <c r="P34" s="1">
        <f t="shared" ref="P34:P65" si="5">(N34-1)*100</f>
        <v>18.961025612039894</v>
      </c>
    </row>
    <row r="35" spans="1:16" x14ac:dyDescent="0.25">
      <c r="A35" t="s">
        <v>33</v>
      </c>
      <c r="B35">
        <v>8.3407889419282529E-4</v>
      </c>
      <c r="C35">
        <v>7.8533206919510897E-4</v>
      </c>
      <c r="D35">
        <v>1.127608338582936E-3</v>
      </c>
      <c r="E35">
        <v>1.774457122686889E-3</v>
      </c>
      <c r="F35">
        <v>1.7391181648470245E-3</v>
      </c>
      <c r="G35">
        <v>1.7547999558012149E-3</v>
      </c>
      <c r="H35">
        <v>1.0396158096104612E-3</v>
      </c>
      <c r="I35">
        <v>9.3376675987696868E-4</v>
      </c>
      <c r="J35">
        <v>7.3477486989269346E-4</v>
      </c>
      <c r="K35">
        <v>1.1411228002486053E-3</v>
      </c>
      <c r="L35">
        <v>1.2736288859984866E-3</v>
      </c>
      <c r="M35">
        <v>1.2740880975004038E-3</v>
      </c>
      <c r="N35">
        <f t="shared" si="3"/>
        <v>0.79808887597103373</v>
      </c>
      <c r="O35">
        <f t="shared" si="4"/>
        <v>0.24464004989464783</v>
      </c>
      <c r="P35" s="1">
        <f t="shared" si="5"/>
        <v>-20.191112402896628</v>
      </c>
    </row>
    <row r="36" spans="1:16" x14ac:dyDescent="0.25">
      <c r="A36" t="s">
        <v>34</v>
      </c>
      <c r="B36">
        <v>2.4353530044280204E-3</v>
      </c>
      <c r="C36">
        <v>1.8905709418170623E-3</v>
      </c>
      <c r="D36">
        <v>3.275492513704729E-3</v>
      </c>
      <c r="E36">
        <v>6.7829320279755708E-3</v>
      </c>
      <c r="F36">
        <v>0</v>
      </c>
      <c r="G36">
        <v>4.3349806592831545E-3</v>
      </c>
      <c r="H36">
        <v>4.0735830889074209E-3</v>
      </c>
      <c r="I36">
        <v>4.9688162023789383E-3</v>
      </c>
      <c r="J36">
        <v>0</v>
      </c>
      <c r="K36">
        <v>0</v>
      </c>
      <c r="L36">
        <v>0</v>
      </c>
      <c r="M36">
        <v>0</v>
      </c>
      <c r="N36">
        <f t="shared" si="3"/>
        <v>0.4830514608818009</v>
      </c>
      <c r="O36">
        <f t="shared" si="4"/>
        <v>0.25820126183811559</v>
      </c>
      <c r="P36" s="1">
        <f t="shared" si="5"/>
        <v>-51.694853911819919</v>
      </c>
    </row>
    <row r="37" spans="1:16" x14ac:dyDescent="0.25">
      <c r="A37" t="s">
        <v>35</v>
      </c>
      <c r="B37">
        <v>7.8212507086190985E-2</v>
      </c>
      <c r="C37">
        <v>5.8520323990350599E-2</v>
      </c>
      <c r="D37">
        <v>4.7065182064930405E-2</v>
      </c>
      <c r="E37">
        <v>0.12284518131941327</v>
      </c>
      <c r="F37">
        <v>5.216508177454774E-2</v>
      </c>
      <c r="G37">
        <v>8.136456709165478E-2</v>
      </c>
      <c r="H37">
        <v>4.1400147142163564E-2</v>
      </c>
      <c r="I37">
        <v>5.3121010122212632E-2</v>
      </c>
      <c r="J37">
        <v>3.792884631920547E-2</v>
      </c>
      <c r="K37">
        <v>4.3114482106841726E-2</v>
      </c>
      <c r="L37">
        <v>0.10966841975291698</v>
      </c>
      <c r="M37">
        <v>3.9671960866910085E-2</v>
      </c>
      <c r="N37">
        <f t="shared" si="3"/>
        <v>0.73813019416288039</v>
      </c>
      <c r="O37">
        <f t="shared" si="4"/>
        <v>0.25920323007335599</v>
      </c>
      <c r="P37" s="1">
        <f t="shared" si="5"/>
        <v>-26.186980583711961</v>
      </c>
    </row>
    <row r="38" spans="1:16" x14ac:dyDescent="0.25">
      <c r="A38" t="s">
        <v>36</v>
      </c>
      <c r="B38">
        <v>6.9306130209479376E-4</v>
      </c>
      <c r="C38">
        <v>9.9376964297438817E-4</v>
      </c>
      <c r="D38">
        <v>8.2757767544228155E-4</v>
      </c>
      <c r="E38">
        <v>1.6179665044046452E-3</v>
      </c>
      <c r="F38">
        <v>1.4565770726049905E-3</v>
      </c>
      <c r="G38">
        <v>1.2531161315457655E-3</v>
      </c>
      <c r="H38">
        <v>1.1733059722583324E-3</v>
      </c>
      <c r="I38">
        <v>7.9867227058809972E-4</v>
      </c>
      <c r="J38">
        <v>6.008313580805984E-4</v>
      </c>
      <c r="K38">
        <v>1.1030485507663411E-3</v>
      </c>
      <c r="L38">
        <v>9.0124072305269214E-4</v>
      </c>
      <c r="M38">
        <v>1.0815112922914316E-3</v>
      </c>
      <c r="N38">
        <f t="shared" si="3"/>
        <v>0.82703210416626005</v>
      </c>
      <c r="O38">
        <f t="shared" si="4"/>
        <v>0.28645233704116674</v>
      </c>
      <c r="P38" s="1">
        <f t="shared" si="5"/>
        <v>-17.296789583373993</v>
      </c>
    </row>
    <row r="39" spans="1:16" x14ac:dyDescent="0.25">
      <c r="A39" t="s">
        <v>37</v>
      </c>
      <c r="B39">
        <v>0.371822949361866</v>
      </c>
      <c r="C39">
        <v>0.27101683798403631</v>
      </c>
      <c r="D39">
        <v>0.19338497293743748</v>
      </c>
      <c r="E39">
        <v>0.28197085037028929</v>
      </c>
      <c r="F39">
        <v>0.14063260242347539</v>
      </c>
      <c r="G39">
        <v>0.15163745131685377</v>
      </c>
      <c r="H39">
        <v>0.4451623732983287</v>
      </c>
      <c r="I39">
        <v>0.16442961411958035</v>
      </c>
      <c r="J39">
        <v>0.22755228053233184</v>
      </c>
      <c r="K39">
        <v>0.34711491782208298</v>
      </c>
      <c r="L39">
        <v>0.61607951846997189</v>
      </c>
      <c r="M39">
        <v>0.15853270829140131</v>
      </c>
      <c r="N39">
        <f t="shared" si="3"/>
        <v>1.38881183851815</v>
      </c>
      <c r="O39">
        <f t="shared" si="4"/>
        <v>0.30110615493946774</v>
      </c>
      <c r="P39" s="1">
        <f t="shared" si="5"/>
        <v>38.881183851815003</v>
      </c>
    </row>
    <row r="40" spans="1:16" x14ac:dyDescent="0.25">
      <c r="A40" t="s">
        <v>38</v>
      </c>
      <c r="B40">
        <v>1.3596115893558334E-2</v>
      </c>
      <c r="C40">
        <v>7.9706667505944143E-3</v>
      </c>
      <c r="D40">
        <v>7.5652838595825812E-3</v>
      </c>
      <c r="E40">
        <v>9.3765729264368661E-3</v>
      </c>
      <c r="F40">
        <v>1.513905523814398E-2</v>
      </c>
      <c r="G40">
        <v>8.1499578337873874E-3</v>
      </c>
      <c r="H40">
        <v>1.6514184526953718E-2</v>
      </c>
      <c r="I40">
        <v>7.0294194599112647E-3</v>
      </c>
      <c r="J40">
        <v>1.0629324649958898E-2</v>
      </c>
      <c r="K40">
        <v>2.371079074364664E-2</v>
      </c>
      <c r="L40">
        <v>9.1062143035943836E-3</v>
      </c>
      <c r="M40">
        <v>1.3378991125003074E-2</v>
      </c>
      <c r="N40">
        <f t="shared" si="3"/>
        <v>1.3005174396605479</v>
      </c>
      <c r="O40">
        <f t="shared" si="4"/>
        <v>0.30263590410977792</v>
      </c>
      <c r="P40" s="1">
        <f t="shared" si="5"/>
        <v>30.05174396605479</v>
      </c>
    </row>
    <row r="41" spans="1:16" x14ac:dyDescent="0.25">
      <c r="A41" t="s">
        <v>39</v>
      </c>
      <c r="B41">
        <v>7.4791302102537996E-2</v>
      </c>
      <c r="C41">
        <v>5.8442553444391372E-2</v>
      </c>
      <c r="D41">
        <v>5.5413465375468207E-2</v>
      </c>
      <c r="E41">
        <v>6.8086708406545793E-2</v>
      </c>
      <c r="F41">
        <v>7.2351974070001102E-2</v>
      </c>
      <c r="G41">
        <v>4.6026251481805475E-2</v>
      </c>
      <c r="H41">
        <v>0.10974021613166388</v>
      </c>
      <c r="I41">
        <v>4.4366721005229114E-2</v>
      </c>
      <c r="J41">
        <v>7.0821979384143086E-2</v>
      </c>
      <c r="K41">
        <v>8.7008887598513218E-2</v>
      </c>
      <c r="L41">
        <v>6.9579654801347909E-2</v>
      </c>
      <c r="M41">
        <v>6.1182545992190328E-2</v>
      </c>
      <c r="N41">
        <f t="shared" si="3"/>
        <v>1.1801800638420201</v>
      </c>
      <c r="O41">
        <f t="shared" si="4"/>
        <v>0.30548498128986634</v>
      </c>
      <c r="P41" s="1">
        <f t="shared" si="5"/>
        <v>18.01800638420201</v>
      </c>
    </row>
    <row r="42" spans="1:16" x14ac:dyDescent="0.25">
      <c r="A42" t="s">
        <v>40</v>
      </c>
      <c r="B42">
        <v>1.7191831721267401E-2</v>
      </c>
      <c r="C42">
        <v>1.2558183327768264E-2</v>
      </c>
      <c r="D42">
        <v>3.7143018932480037E-2</v>
      </c>
      <c r="E42">
        <v>2.5410413807450405E-2</v>
      </c>
      <c r="F42">
        <v>4.6990036816200134E-2</v>
      </c>
      <c r="G42">
        <v>4.6826859183387241E-2</v>
      </c>
      <c r="H42">
        <v>3.8873555162601159E-2</v>
      </c>
      <c r="I42">
        <v>1.9930201811165671E-2</v>
      </c>
      <c r="J42">
        <v>1.4543143168534098E-2</v>
      </c>
      <c r="K42">
        <v>2.2690487946466706E-2</v>
      </c>
      <c r="L42">
        <v>2.721780327083187E-2</v>
      </c>
      <c r="M42">
        <v>1.7143274743704553E-2</v>
      </c>
      <c r="N42">
        <f t="shared" si="3"/>
        <v>0.7543423961370237</v>
      </c>
      <c r="O42">
        <f t="shared" si="4"/>
        <v>0.31071875749753236</v>
      </c>
      <c r="P42" s="1">
        <f t="shared" si="5"/>
        <v>-24.565760386297629</v>
      </c>
    </row>
    <row r="43" spans="1:16" x14ac:dyDescent="0.25">
      <c r="A43" t="s">
        <v>41</v>
      </c>
      <c r="B43">
        <v>3.13812239790454E-2</v>
      </c>
      <c r="C43">
        <v>2.71998089448338E-2</v>
      </c>
      <c r="D43">
        <v>2.8614863753202935E-2</v>
      </c>
      <c r="E43">
        <v>4.5117292161689589E-2</v>
      </c>
      <c r="F43">
        <v>2.7959432554762995E-2</v>
      </c>
      <c r="G43">
        <v>2.3067567703777776E-2</v>
      </c>
      <c r="H43">
        <v>2.9373659870614671E-2</v>
      </c>
      <c r="I43">
        <v>1.7463876903927679E-2</v>
      </c>
      <c r="J43">
        <v>1.8297891861773528E-2</v>
      </c>
      <c r="K43">
        <v>2.4880099068725188E-2</v>
      </c>
      <c r="L43">
        <v>4.2691224611722756E-2</v>
      </c>
      <c r="M43">
        <v>2.0028345922990982E-2</v>
      </c>
      <c r="N43">
        <f t="shared" si="3"/>
        <v>0.83306938316010337</v>
      </c>
      <c r="O43">
        <f t="shared" si="4"/>
        <v>0.33220181575822993</v>
      </c>
      <c r="P43" s="1">
        <f t="shared" si="5"/>
        <v>-16.693061683989662</v>
      </c>
    </row>
    <row r="44" spans="1:16" x14ac:dyDescent="0.25">
      <c r="A44" t="s">
        <v>42</v>
      </c>
      <c r="B44">
        <v>2.6030374834884367E-3</v>
      </c>
      <c r="C44">
        <v>2.6728408318673412E-3</v>
      </c>
      <c r="D44">
        <v>2.1548605631236529E-3</v>
      </c>
      <c r="E44">
        <v>3.5716082948439678E-3</v>
      </c>
      <c r="F44">
        <v>2.8708202055442696E-3</v>
      </c>
      <c r="G44">
        <v>2.9664961256116685E-3</v>
      </c>
      <c r="H44">
        <v>3.7972831141019903E-3</v>
      </c>
      <c r="I44">
        <v>2.5041888249049005E-3</v>
      </c>
      <c r="J44">
        <v>1.9527884539140956E-3</v>
      </c>
      <c r="K44">
        <v>3.6818993567857821E-3</v>
      </c>
      <c r="L44">
        <v>4.3926768806899245E-3</v>
      </c>
      <c r="M44">
        <v>3.0865864104420988E-3</v>
      </c>
      <c r="N44">
        <f t="shared" si="3"/>
        <v>1.1529578982189461</v>
      </c>
      <c r="O44">
        <f t="shared" si="4"/>
        <v>0.33252579841668062</v>
      </c>
      <c r="P44" s="1">
        <f t="shared" si="5"/>
        <v>15.295789821894612</v>
      </c>
    </row>
    <row r="45" spans="1:16" x14ac:dyDescent="0.25">
      <c r="A45" t="s">
        <v>43</v>
      </c>
      <c r="B45">
        <v>1.4569063305031472E-2</v>
      </c>
      <c r="C45">
        <v>9.0578826507220732E-3</v>
      </c>
      <c r="D45">
        <v>7.9800308852517269E-3</v>
      </c>
      <c r="E45">
        <v>9.2766350148324513E-3</v>
      </c>
      <c r="F45">
        <v>1.5558626774872067E-2</v>
      </c>
      <c r="G45">
        <v>8.8975499048267286E-3</v>
      </c>
      <c r="H45">
        <v>1.6823369616332306E-2</v>
      </c>
      <c r="I45">
        <v>7.457799152874746E-3</v>
      </c>
      <c r="J45">
        <v>1.1164471901813657E-2</v>
      </c>
      <c r="K45">
        <v>2.502723026698199E-2</v>
      </c>
      <c r="L45">
        <v>8.9295718371927083E-3</v>
      </c>
      <c r="M45">
        <v>1.3748760573982931E-2</v>
      </c>
      <c r="N45">
        <f t="shared" si="3"/>
        <v>1.2725967624452086</v>
      </c>
      <c r="O45">
        <f t="shared" si="4"/>
        <v>0.34475367454258221</v>
      </c>
      <c r="P45" s="1">
        <f t="shared" si="5"/>
        <v>27.259676244520858</v>
      </c>
    </row>
    <row r="46" spans="1:16" x14ac:dyDescent="0.25">
      <c r="A46" t="s">
        <v>44</v>
      </c>
      <c r="B46">
        <v>0.35875438119136555</v>
      </c>
      <c r="C46">
        <v>0.27505688772191483</v>
      </c>
      <c r="D46">
        <v>0.23535294980524127</v>
      </c>
      <c r="E46">
        <v>0.24240012212415005</v>
      </c>
      <c r="F46">
        <v>0.14678275680804609</v>
      </c>
      <c r="G46">
        <v>0.15099728112737421</v>
      </c>
      <c r="H46">
        <v>0.49490005467053716</v>
      </c>
      <c r="I46">
        <v>0.14291500376673433</v>
      </c>
      <c r="J46">
        <v>0.24778656477380123</v>
      </c>
      <c r="K46">
        <v>0.30978609651876732</v>
      </c>
      <c r="L46">
        <v>0.44153726745781174</v>
      </c>
      <c r="M46">
        <v>0.17323992599500773</v>
      </c>
      <c r="N46">
        <f t="shared" si="3"/>
        <v>1.2844021237393239</v>
      </c>
      <c r="O46">
        <f t="shared" si="4"/>
        <v>0.34627416629556179</v>
      </c>
      <c r="P46" s="1">
        <f t="shared" si="5"/>
        <v>28.440212373932393</v>
      </c>
    </row>
    <row r="47" spans="1:16" x14ac:dyDescent="0.25">
      <c r="A47" t="s">
        <v>45</v>
      </c>
      <c r="B47">
        <v>9.7029602144959842E-2</v>
      </c>
      <c r="C47">
        <v>8.9089689195635147E-2</v>
      </c>
      <c r="D47">
        <v>7.1584323906131619E-2</v>
      </c>
      <c r="E47">
        <v>0.11472375535898285</v>
      </c>
      <c r="F47">
        <v>8.4133923229900001E-2</v>
      </c>
      <c r="G47">
        <v>8.4214483711247193E-2</v>
      </c>
      <c r="H47">
        <v>9.0217428405511377E-2</v>
      </c>
      <c r="I47">
        <v>5.7795030501665852E-2</v>
      </c>
      <c r="J47">
        <v>5.5242765910624235E-2</v>
      </c>
      <c r="K47">
        <v>8.5975812762322329E-2</v>
      </c>
      <c r="L47">
        <v>0.12263914672919776</v>
      </c>
      <c r="M47">
        <v>5.2506234828973875E-2</v>
      </c>
      <c r="N47">
        <f t="shared" si="3"/>
        <v>0.85872266920842011</v>
      </c>
      <c r="O47">
        <f t="shared" si="4"/>
        <v>0.34725345792439771</v>
      </c>
      <c r="P47" s="1">
        <f t="shared" si="5"/>
        <v>-14.12773307915799</v>
      </c>
    </row>
    <row r="48" spans="1:16" x14ac:dyDescent="0.25">
      <c r="A48" t="s">
        <v>46</v>
      </c>
      <c r="B48">
        <v>3.6216278798538249E-3</v>
      </c>
      <c r="C48">
        <v>4.0496643367909377E-3</v>
      </c>
      <c r="D48">
        <v>2.7379957818937165E-3</v>
      </c>
      <c r="E48">
        <v>7.6198203893857877E-3</v>
      </c>
      <c r="F48">
        <v>3.8894246024009055E-3</v>
      </c>
      <c r="G48">
        <v>4.3223599567817168E-3</v>
      </c>
      <c r="H48">
        <v>4.1672771741129398E-3</v>
      </c>
      <c r="I48">
        <v>2.6552087865273524E-3</v>
      </c>
      <c r="J48">
        <v>2.496097886406686E-3</v>
      </c>
      <c r="K48">
        <v>4.8083894403709634E-3</v>
      </c>
      <c r="L48">
        <v>3.8406984844677329E-3</v>
      </c>
      <c r="M48">
        <v>3.6534042659590541E-3</v>
      </c>
      <c r="N48">
        <f t="shared" si="3"/>
        <v>0.82394589549318276</v>
      </c>
      <c r="O48">
        <f t="shared" si="4"/>
        <v>0.35175040607560426</v>
      </c>
      <c r="P48" s="1">
        <f t="shared" si="5"/>
        <v>-17.605410450681724</v>
      </c>
    </row>
    <row r="49" spans="1:16" x14ac:dyDescent="0.25">
      <c r="A49" t="s">
        <v>47</v>
      </c>
      <c r="B49">
        <v>0.12612239057804961</v>
      </c>
      <c r="C49">
        <v>0.11105100340480932</v>
      </c>
      <c r="D49">
        <v>9.0910575853420425E-2</v>
      </c>
      <c r="E49">
        <v>0.11488483770351965</v>
      </c>
      <c r="F49">
        <v>0.11733506688661889</v>
      </c>
      <c r="G49">
        <v>8.0613880606891855E-2</v>
      </c>
      <c r="H49">
        <v>0.12952116192877361</v>
      </c>
      <c r="I49">
        <v>7.388142435151232E-2</v>
      </c>
      <c r="J49">
        <v>8.0259091711605668E-2</v>
      </c>
      <c r="K49">
        <v>0.11783285124197727</v>
      </c>
      <c r="L49">
        <v>0.10288407905260266</v>
      </c>
      <c r="M49">
        <v>6.1124679174799711E-2</v>
      </c>
      <c r="N49">
        <f t="shared" si="3"/>
        <v>0.88233362708430629</v>
      </c>
      <c r="O49">
        <f t="shared" si="4"/>
        <v>0.36093824824671528</v>
      </c>
      <c r="P49" s="1">
        <f t="shared" si="5"/>
        <v>-11.766637291569371</v>
      </c>
    </row>
    <row r="50" spans="1:16" x14ac:dyDescent="0.25">
      <c r="A50" t="s">
        <v>48</v>
      </c>
      <c r="B50">
        <v>0.14646158082409946</v>
      </c>
      <c r="C50">
        <v>0.10136265248067523</v>
      </c>
      <c r="D50">
        <v>9.6828180489679588E-2</v>
      </c>
      <c r="E50">
        <v>0.21803910794579612</v>
      </c>
      <c r="F50">
        <v>0.12633196845389805</v>
      </c>
      <c r="G50">
        <v>0.12564036863998254</v>
      </c>
      <c r="H50">
        <v>0.10167642420140682</v>
      </c>
      <c r="I50">
        <v>0.12240915385151342</v>
      </c>
      <c r="J50">
        <v>8.1171822423626583E-2</v>
      </c>
      <c r="K50">
        <v>0.15924578701549169</v>
      </c>
      <c r="L50">
        <v>0.12978500318222844</v>
      </c>
      <c r="M50">
        <v>0.10148841632626369</v>
      </c>
      <c r="N50">
        <f t="shared" si="3"/>
        <v>0.85406588184267762</v>
      </c>
      <c r="O50">
        <f t="shared" si="4"/>
        <v>0.37662571532797473</v>
      </c>
      <c r="P50" s="1">
        <f t="shared" si="5"/>
        <v>-14.593411815732239</v>
      </c>
    </row>
    <row r="51" spans="1:16" x14ac:dyDescent="0.25">
      <c r="A51" t="s">
        <v>49</v>
      </c>
      <c r="B51">
        <v>0</v>
      </c>
      <c r="C51">
        <v>0</v>
      </c>
      <c r="D51">
        <v>5.2179938233720875E-4</v>
      </c>
      <c r="E51">
        <v>7.306168276289619E-4</v>
      </c>
      <c r="F51">
        <v>8.2467105376265429E-4</v>
      </c>
      <c r="G51">
        <v>6.365582453703735E-4</v>
      </c>
      <c r="H51">
        <v>5.0951628594988216E-4</v>
      </c>
      <c r="I51">
        <v>0</v>
      </c>
      <c r="J51">
        <v>0</v>
      </c>
      <c r="K51">
        <v>6.7766222783577053E-4</v>
      </c>
      <c r="L51">
        <v>0</v>
      </c>
      <c r="M51">
        <v>5.3717687703122E-4</v>
      </c>
      <c r="N51">
        <f t="shared" si="3"/>
        <v>0.63543870598974328</v>
      </c>
      <c r="O51">
        <f t="shared" si="4"/>
        <v>0.42470698255588146</v>
      </c>
      <c r="P51" s="1">
        <f t="shared" si="5"/>
        <v>-36.45612940102567</v>
      </c>
    </row>
    <row r="52" spans="1:16" x14ac:dyDescent="0.25">
      <c r="A52" t="s">
        <v>50</v>
      </c>
      <c r="B52">
        <v>1.9891341363202215E-2</v>
      </c>
      <c r="C52">
        <v>1.551108198756522E-2</v>
      </c>
      <c r="D52">
        <v>7.9856409910936572E-3</v>
      </c>
      <c r="E52">
        <v>6.7966128503543768E-3</v>
      </c>
      <c r="F52">
        <v>4.3467050918896775E-3</v>
      </c>
      <c r="G52">
        <v>4.884217294070967E-3</v>
      </c>
      <c r="H52">
        <v>1.1909288644040795E-2</v>
      </c>
      <c r="I52">
        <v>8.2996533339328195E-3</v>
      </c>
      <c r="J52">
        <v>7.9119022120481778E-3</v>
      </c>
      <c r="K52">
        <v>6.6450065138933222E-3</v>
      </c>
      <c r="L52">
        <v>6.6472391470756807E-3</v>
      </c>
      <c r="M52">
        <v>4.1247233225937142E-3</v>
      </c>
      <c r="N52">
        <f t="shared" si="3"/>
        <v>0.76642857257828567</v>
      </c>
      <c r="O52">
        <f t="shared" si="4"/>
        <v>0.4361528973393024</v>
      </c>
      <c r="P52" s="1">
        <f t="shared" si="5"/>
        <v>-23.357142742171433</v>
      </c>
    </row>
    <row r="53" spans="1:16" x14ac:dyDescent="0.25">
      <c r="A53" t="s">
        <v>51</v>
      </c>
      <c r="B53">
        <v>113.90025558303485</v>
      </c>
      <c r="C53">
        <v>103.64862138791244</v>
      </c>
      <c r="D53">
        <v>94.26442074142507</v>
      </c>
      <c r="E53">
        <v>114.88318849388826</v>
      </c>
      <c r="F53">
        <v>117.75926825318352</v>
      </c>
      <c r="G53">
        <v>91.178557594807828</v>
      </c>
      <c r="H53">
        <v>128.40897957503941</v>
      </c>
      <c r="I53">
        <v>83.308926003468883</v>
      </c>
      <c r="J53">
        <v>93.066820551666865</v>
      </c>
      <c r="K53">
        <v>109.44638265036873</v>
      </c>
      <c r="L53">
        <v>85.631633979707772</v>
      </c>
      <c r="M53">
        <v>95.254752540131562</v>
      </c>
      <c r="N53">
        <f t="shared" si="3"/>
        <v>0.93625766264422394</v>
      </c>
      <c r="O53">
        <f t="shared" si="4"/>
        <v>0.44008590101421219</v>
      </c>
      <c r="P53" s="1">
        <f t="shared" si="5"/>
        <v>-6.3742337355776062</v>
      </c>
    </row>
    <row r="54" spans="1:16" x14ac:dyDescent="0.25">
      <c r="A54" t="s">
        <v>52</v>
      </c>
      <c r="B54">
        <v>2.4552116081589599E-3</v>
      </c>
      <c r="C54">
        <v>1.9746938498673588E-3</v>
      </c>
      <c r="D54">
        <v>2.9731655443707402E-3</v>
      </c>
      <c r="E54">
        <v>3.1925846491046581E-3</v>
      </c>
      <c r="F54">
        <v>2.8545880735502266E-3</v>
      </c>
      <c r="G54">
        <v>4.528069040958151E-3</v>
      </c>
      <c r="H54">
        <v>3.4768866545876217E-3</v>
      </c>
      <c r="I54">
        <v>1.9922601771590939E-3</v>
      </c>
      <c r="J54">
        <v>2.1929600520804141E-3</v>
      </c>
      <c r="K54">
        <v>3.9074371361768343E-3</v>
      </c>
      <c r="L54">
        <v>2.4033199775858327E-3</v>
      </c>
      <c r="M54">
        <v>2.2311883358713766E-3</v>
      </c>
      <c r="N54">
        <f t="shared" si="3"/>
        <v>0.90131107097528385</v>
      </c>
      <c r="O54">
        <f t="shared" si="4"/>
        <v>0.55051055185459252</v>
      </c>
      <c r="P54" s="1">
        <f t="shared" si="5"/>
        <v>-9.8688929024716145</v>
      </c>
    </row>
    <row r="55" spans="1:16" x14ac:dyDescent="0.25">
      <c r="A55" t="s">
        <v>53</v>
      </c>
      <c r="B55">
        <v>6.0480688015069145E-2</v>
      </c>
      <c r="C55">
        <v>4.9537426504959028E-2</v>
      </c>
      <c r="D55">
        <v>4.781078844173358E-2</v>
      </c>
      <c r="E55">
        <v>9.9487047168007617E-2</v>
      </c>
      <c r="F55">
        <v>7.9267332201542265E-2</v>
      </c>
      <c r="G55">
        <v>0.1024091116653348</v>
      </c>
      <c r="H55">
        <v>5.761868504108425E-2</v>
      </c>
      <c r="I55">
        <v>4.1518229543708908E-2</v>
      </c>
      <c r="J55">
        <v>4.5561867272238626E-2</v>
      </c>
      <c r="K55">
        <v>8.106204141228103E-2</v>
      </c>
      <c r="L55">
        <v>9.2106397582032415E-2</v>
      </c>
      <c r="M55">
        <v>7.4399107467232717E-2</v>
      </c>
      <c r="N55">
        <f t="shared" si="3"/>
        <v>0.89356064861928919</v>
      </c>
      <c r="O55">
        <f t="shared" si="4"/>
        <v>0.56062900308562147</v>
      </c>
      <c r="P55" s="1">
        <f t="shared" si="5"/>
        <v>-10.643935138071081</v>
      </c>
    </row>
    <row r="56" spans="1:16" x14ac:dyDescent="0.25">
      <c r="A56" t="s">
        <v>54</v>
      </c>
      <c r="B56">
        <v>2.2069958683138869E-2</v>
      </c>
      <c r="C56">
        <v>1.8332552481085916E-2</v>
      </c>
      <c r="D56">
        <v>1.791158676246301E-2</v>
      </c>
      <c r="E56">
        <v>3.1191152608267263E-2</v>
      </c>
      <c r="F56">
        <v>2.6358611663695238E-2</v>
      </c>
      <c r="G56">
        <v>3.1490007495845358E-2</v>
      </c>
      <c r="H56">
        <v>2.1817390046308331E-2</v>
      </c>
      <c r="I56">
        <v>1.4891766684933453E-2</v>
      </c>
      <c r="J56">
        <v>1.7757961007189474E-2</v>
      </c>
      <c r="K56">
        <v>2.7306491460938991E-2</v>
      </c>
      <c r="L56">
        <v>2.9793727678600335E-2</v>
      </c>
      <c r="M56">
        <v>2.4764106542322362E-2</v>
      </c>
      <c r="N56">
        <f t="shared" si="3"/>
        <v>0.92519757847516881</v>
      </c>
      <c r="O56">
        <f t="shared" si="4"/>
        <v>0.60063917437455105</v>
      </c>
      <c r="P56" s="1">
        <f t="shared" si="5"/>
        <v>-7.4802421524831182</v>
      </c>
    </row>
    <row r="57" spans="1:16" x14ac:dyDescent="0.25">
      <c r="A57" t="s">
        <v>55</v>
      </c>
      <c r="B57">
        <v>3.7081430868380538</v>
      </c>
      <c r="C57">
        <v>2.6276208258108431</v>
      </c>
      <c r="D57">
        <v>2.1597172010180734</v>
      </c>
      <c r="E57">
        <v>2.8445674440152544</v>
      </c>
      <c r="F57">
        <v>2.7929853320248981</v>
      </c>
      <c r="G57">
        <v>1.9171459906345816</v>
      </c>
      <c r="H57">
        <v>3.045889773234884</v>
      </c>
      <c r="I57">
        <v>2.3947882487413485</v>
      </c>
      <c r="J57">
        <v>2.1999149320145497</v>
      </c>
      <c r="K57">
        <v>2.9189153543620314</v>
      </c>
      <c r="L57">
        <v>4.5725645981406355</v>
      </c>
      <c r="M57">
        <v>2.331514271501252</v>
      </c>
      <c r="N57">
        <f t="shared" si="3"/>
        <v>1.0880617730262414</v>
      </c>
      <c r="O57">
        <f t="shared" si="4"/>
        <v>0.60629435924609698</v>
      </c>
      <c r="P57" s="1">
        <f t="shared" si="5"/>
        <v>8.8061773026241408</v>
      </c>
    </row>
    <row r="58" spans="1:16" x14ac:dyDescent="0.25">
      <c r="A58" t="s">
        <v>56</v>
      </c>
      <c r="B58">
        <v>7.0225926372558464E-2</v>
      </c>
      <c r="C58">
        <v>4.7312797052486352E-2</v>
      </c>
      <c r="D58">
        <v>4.4756663415592972E-2</v>
      </c>
      <c r="E58">
        <v>0.12059737597382476</v>
      </c>
      <c r="F58">
        <v>4.918269200116672E-2</v>
      </c>
      <c r="G58">
        <v>8.0528328773684571E-2</v>
      </c>
      <c r="H58">
        <v>6.4164219029971284E-2</v>
      </c>
      <c r="I58">
        <v>6.1638806644812652E-2</v>
      </c>
      <c r="J58">
        <v>5.1175758281487412E-2</v>
      </c>
      <c r="K58">
        <v>5.780179253107743E-2</v>
      </c>
      <c r="L58">
        <v>8.862293971739596E-2</v>
      </c>
      <c r="M58">
        <v>4.6481091071382742E-2</v>
      </c>
      <c r="N58">
        <f t="shared" si="3"/>
        <v>0.89646440965333718</v>
      </c>
      <c r="O58">
        <f t="shared" si="4"/>
        <v>0.60907546846077554</v>
      </c>
      <c r="P58" s="1">
        <f t="shared" si="5"/>
        <v>-10.353559034666283</v>
      </c>
    </row>
    <row r="59" spans="1:16" x14ac:dyDescent="0.25">
      <c r="A59" t="s">
        <v>57</v>
      </c>
      <c r="B59">
        <v>7.9900802636303225E-3</v>
      </c>
      <c r="C59">
        <v>6.7415593454630482E-3</v>
      </c>
      <c r="D59">
        <v>6.0123171602569237E-3</v>
      </c>
      <c r="E59">
        <v>2.8445088845928173E-3</v>
      </c>
      <c r="F59">
        <v>2.516661441040847E-3</v>
      </c>
      <c r="G59">
        <v>3.8101988237392399E-3</v>
      </c>
      <c r="H59">
        <v>8.372653144880067E-3</v>
      </c>
      <c r="I59">
        <v>4.0753935226922082E-3</v>
      </c>
      <c r="J59">
        <v>4.4282073602353433E-3</v>
      </c>
      <c r="K59">
        <v>3.2886109702300803E-3</v>
      </c>
      <c r="L59">
        <v>3.7638662492485639E-3</v>
      </c>
      <c r="M59">
        <v>1.9793532864016573E-3</v>
      </c>
      <c r="N59">
        <f t="shared" si="3"/>
        <v>0.86604720951653569</v>
      </c>
      <c r="O59">
        <f t="shared" si="4"/>
        <v>0.61112384122752184</v>
      </c>
      <c r="P59" s="1">
        <f t="shared" si="5"/>
        <v>-13.395279048346431</v>
      </c>
    </row>
    <row r="60" spans="1:16" x14ac:dyDescent="0.25">
      <c r="A60" t="s">
        <v>58</v>
      </c>
      <c r="B60">
        <v>3.9132875507595548E-3</v>
      </c>
      <c r="C60">
        <v>3.8160464929797139E-3</v>
      </c>
      <c r="D60">
        <v>0</v>
      </c>
      <c r="E60">
        <v>0</v>
      </c>
      <c r="F60">
        <v>0</v>
      </c>
      <c r="G60">
        <v>0</v>
      </c>
      <c r="H60">
        <v>2.574987532915051E-3</v>
      </c>
      <c r="I60">
        <v>3.3501255775385624E-3</v>
      </c>
      <c r="J60">
        <v>2.1803007868670793E-3</v>
      </c>
      <c r="K60">
        <v>2.7531337823117636E-3</v>
      </c>
      <c r="L60">
        <v>0</v>
      </c>
      <c r="M60">
        <v>0</v>
      </c>
      <c r="N60">
        <f t="shared" si="3"/>
        <v>1.404849061793084</v>
      </c>
      <c r="O60">
        <f t="shared" si="4"/>
        <v>0.61702297199518075</v>
      </c>
      <c r="P60" s="1">
        <f t="shared" si="5"/>
        <v>40.484906179308396</v>
      </c>
    </row>
    <row r="61" spans="1:16" x14ac:dyDescent="0.25">
      <c r="A61" t="s">
        <v>59</v>
      </c>
      <c r="B61">
        <v>0.31033533224490972</v>
      </c>
      <c r="C61">
        <v>0.25063423845846511</v>
      </c>
      <c r="D61">
        <v>0.18968914677802717</v>
      </c>
      <c r="E61">
        <v>0.21472339380052696</v>
      </c>
      <c r="F61">
        <v>0.22305345181653835</v>
      </c>
      <c r="G61">
        <v>0.19953988768181222</v>
      </c>
      <c r="H61">
        <v>0.24396707281767513</v>
      </c>
      <c r="I61">
        <v>0.16711214580303679</v>
      </c>
      <c r="J61">
        <v>0.15431841571036745</v>
      </c>
      <c r="K61">
        <v>0.21941590479776066</v>
      </c>
      <c r="L61">
        <v>0.31790650318800495</v>
      </c>
      <c r="M61">
        <v>0.195773585090638</v>
      </c>
      <c r="N61">
        <f t="shared" si="3"/>
        <v>0.93553068728809818</v>
      </c>
      <c r="O61">
        <f t="shared" si="4"/>
        <v>0.63375200519835129</v>
      </c>
      <c r="P61" s="1">
        <f t="shared" si="5"/>
        <v>-6.4469312711901816</v>
      </c>
    </row>
    <row r="62" spans="1:16" x14ac:dyDescent="0.25">
      <c r="A62" t="s">
        <v>60</v>
      </c>
      <c r="B62">
        <v>1.2397830622782782E-2</v>
      </c>
      <c r="C62">
        <v>7.3752993242972558E-3</v>
      </c>
      <c r="D62">
        <v>4.1472056357791292E-3</v>
      </c>
      <c r="E62">
        <v>6.3038053840146257E-3</v>
      </c>
      <c r="F62">
        <v>6.8050046044295922E-3</v>
      </c>
      <c r="G62">
        <v>2.5280229494568287E-3</v>
      </c>
      <c r="H62">
        <v>9.9808425763262421E-3</v>
      </c>
      <c r="I62">
        <v>4.3421346538247366E-3</v>
      </c>
      <c r="J62">
        <v>4.5041112157489186E-3</v>
      </c>
      <c r="K62">
        <v>8.3313662974726938E-3</v>
      </c>
      <c r="L62">
        <v>1.2183927118831043E-2</v>
      </c>
      <c r="M62">
        <v>4.9284592968139446E-3</v>
      </c>
      <c r="N62">
        <f t="shared" si="3"/>
        <v>1.1191610222502038</v>
      </c>
      <c r="O62">
        <f t="shared" si="4"/>
        <v>0.69183839462052588</v>
      </c>
      <c r="P62" s="1">
        <f t="shared" si="5"/>
        <v>11.916102225020374</v>
      </c>
    </row>
    <row r="63" spans="1:16" x14ac:dyDescent="0.25">
      <c r="A63" t="s">
        <v>61</v>
      </c>
      <c r="B63">
        <v>6.7159776386936279E-2</v>
      </c>
      <c r="C63">
        <v>6.0575954897692526E-2</v>
      </c>
      <c r="D63">
        <v>6.4105016073140814E-2</v>
      </c>
      <c r="E63">
        <v>9.8977014421603754E-2</v>
      </c>
      <c r="F63">
        <v>8.1198028612939732E-2</v>
      </c>
      <c r="G63">
        <v>7.5108263978528114E-2</v>
      </c>
      <c r="H63">
        <v>8.2252330941444365E-2</v>
      </c>
      <c r="I63">
        <v>5.4629814146208634E-2</v>
      </c>
      <c r="J63">
        <v>5.2050562813443925E-2</v>
      </c>
      <c r="K63">
        <v>8.7321951185361193E-2</v>
      </c>
      <c r="L63">
        <v>8.797099447272784E-2</v>
      </c>
      <c r="M63">
        <v>6.4188119422286E-2</v>
      </c>
      <c r="N63">
        <f t="shared" si="3"/>
        <v>0.95815416055909397</v>
      </c>
      <c r="O63">
        <f t="shared" si="4"/>
        <v>0.73226287598826012</v>
      </c>
      <c r="P63" s="1">
        <f t="shared" si="5"/>
        <v>-4.184583944090603</v>
      </c>
    </row>
    <row r="64" spans="1:16" x14ac:dyDescent="0.25">
      <c r="A64" t="s">
        <v>62</v>
      </c>
      <c r="B64">
        <v>1.9948947311441666E-2</v>
      </c>
      <c r="C64">
        <v>1.3783375641166698E-2</v>
      </c>
      <c r="D64">
        <v>1.2905910954371288E-2</v>
      </c>
      <c r="E64">
        <v>5.6867735906552088E-3</v>
      </c>
      <c r="F64">
        <v>5.1581055477389025E-3</v>
      </c>
      <c r="G64">
        <v>5.082147765412417E-3</v>
      </c>
      <c r="H64">
        <v>1.653369457177244E-2</v>
      </c>
      <c r="I64">
        <v>8.9402858414148034E-3</v>
      </c>
      <c r="J64">
        <v>1.1572513749501044E-2</v>
      </c>
      <c r="K64">
        <v>6.8605783082386828E-3</v>
      </c>
      <c r="L64">
        <v>6.0313579556696782E-3</v>
      </c>
      <c r="M64">
        <v>6.4105030245538283E-3</v>
      </c>
      <c r="N64">
        <f t="shared" si="3"/>
        <v>0.90064250865291662</v>
      </c>
      <c r="O64">
        <f t="shared" si="4"/>
        <v>0.73777129869380498</v>
      </c>
      <c r="P64" s="1">
        <f t="shared" si="5"/>
        <v>-9.9357491347083382</v>
      </c>
    </row>
    <row r="65" spans="1:16" x14ac:dyDescent="0.25">
      <c r="A65" t="s">
        <v>63</v>
      </c>
      <c r="B65">
        <v>3.9817885728139924E-3</v>
      </c>
      <c r="C65">
        <v>4.0321894834535292E-3</v>
      </c>
      <c r="D65">
        <v>3.2074562056203363E-3</v>
      </c>
      <c r="E65">
        <v>5.5145811235189288E-3</v>
      </c>
      <c r="F65">
        <v>4.7741378123587171E-3</v>
      </c>
      <c r="G65">
        <v>4.968242691335196E-3</v>
      </c>
      <c r="H65">
        <v>4.2180396377420951E-3</v>
      </c>
      <c r="I65">
        <v>2.5301548658787699E-3</v>
      </c>
      <c r="J65">
        <v>3.486375649235986E-3</v>
      </c>
      <c r="K65">
        <v>6.1332627175767788E-3</v>
      </c>
      <c r="L65">
        <v>5.0407945104338908E-3</v>
      </c>
      <c r="M65">
        <v>3.817357704589585E-3</v>
      </c>
      <c r="N65">
        <f t="shared" si="3"/>
        <v>0.95270065419034244</v>
      </c>
      <c r="O65">
        <f t="shared" si="4"/>
        <v>0.74215275331599073</v>
      </c>
      <c r="P65" s="1">
        <f t="shared" si="5"/>
        <v>-4.7299345809657556</v>
      </c>
    </row>
    <row r="66" spans="1:16" x14ac:dyDescent="0.25">
      <c r="A66" t="s">
        <v>64</v>
      </c>
      <c r="B66">
        <v>7.2887413748768323E-2</v>
      </c>
      <c r="C66">
        <v>3.7104539320139927E-2</v>
      </c>
      <c r="D66">
        <v>2.4515176992528323E-2</v>
      </c>
      <c r="E66">
        <v>4.2627256053151805E-2</v>
      </c>
      <c r="F66">
        <v>4.7640429144083431E-2</v>
      </c>
      <c r="G66">
        <v>3.6063046727548079E-2</v>
      </c>
      <c r="H66">
        <v>6.7941277458992477E-2</v>
      </c>
      <c r="I66">
        <v>2.7192924221305384E-2</v>
      </c>
      <c r="J66">
        <v>3.6717805786567984E-2</v>
      </c>
      <c r="K66">
        <v>5.6531548410541664E-2</v>
      </c>
      <c r="L66">
        <v>5.5825943917856127E-2</v>
      </c>
      <c r="M66">
        <v>3.5064539262086615E-2</v>
      </c>
      <c r="N66">
        <f t="shared" ref="N66:N85" si="6">AVERAGE(H66:M66)/AVERAGE(B66:G66)</f>
        <v>1.0706806018525961</v>
      </c>
      <c r="O66">
        <f t="shared" ref="O66:O85" si="7">TTEST(H66:M66,B66:G66,2,3)</f>
        <v>0.74745789065968582</v>
      </c>
      <c r="P66" s="1">
        <f t="shared" ref="P66:P85" si="8">(N66-1)*100</f>
        <v>7.0680601852596059</v>
      </c>
    </row>
    <row r="67" spans="1:16" x14ac:dyDescent="0.25">
      <c r="A67" t="s">
        <v>65</v>
      </c>
      <c r="B67">
        <v>0.27278311086879597</v>
      </c>
      <c r="C67">
        <v>0.24711078222810248</v>
      </c>
      <c r="D67">
        <v>0.22307773381825299</v>
      </c>
      <c r="E67">
        <v>0.46961495529330555</v>
      </c>
      <c r="F67">
        <v>0.38571831617959618</v>
      </c>
      <c r="G67">
        <v>0.28053501695081673</v>
      </c>
      <c r="H67">
        <v>0.33078297653695204</v>
      </c>
      <c r="I67">
        <v>0.21789696276890838</v>
      </c>
      <c r="J67">
        <v>0.221620419894689</v>
      </c>
      <c r="K67">
        <v>0.46417992182097317</v>
      </c>
      <c r="L67">
        <v>0.48810577989454706</v>
      </c>
      <c r="M67">
        <v>0.27484646866844037</v>
      </c>
      <c r="N67">
        <f t="shared" si="6"/>
        <v>1.0631201270940909</v>
      </c>
      <c r="O67">
        <f t="shared" si="7"/>
        <v>0.75665220445047954</v>
      </c>
      <c r="P67" s="1">
        <f t="shared" si="8"/>
        <v>6.3120127094090872</v>
      </c>
    </row>
    <row r="68" spans="1:16" x14ac:dyDescent="0.25">
      <c r="A68" t="s">
        <v>66</v>
      </c>
      <c r="B68">
        <v>1.2313530143560633E-2</v>
      </c>
      <c r="C68">
        <v>1.2531024559209125E-2</v>
      </c>
      <c r="D68">
        <v>1.3437339963595842E-2</v>
      </c>
      <c r="E68">
        <v>2.1939300216554873E-2</v>
      </c>
      <c r="F68">
        <v>2.1599395832499479E-2</v>
      </c>
      <c r="G68">
        <v>1.3636477395363857E-2</v>
      </c>
      <c r="H68">
        <v>2.2778278198568199E-2</v>
      </c>
      <c r="I68">
        <v>1.0272801823307221E-2</v>
      </c>
      <c r="J68">
        <v>1.5956042217131174E-2</v>
      </c>
      <c r="K68">
        <v>2.1092952631740543E-2</v>
      </c>
      <c r="L68">
        <v>1.3880824856283301E-2</v>
      </c>
      <c r="M68">
        <v>1.6349305565004142E-2</v>
      </c>
      <c r="N68">
        <f t="shared" si="6"/>
        <v>1.0510505641718977</v>
      </c>
      <c r="O68">
        <f t="shared" si="7"/>
        <v>0.76544317913547655</v>
      </c>
      <c r="P68" s="1">
        <f t="shared" si="8"/>
        <v>5.1050564171897683</v>
      </c>
    </row>
    <row r="69" spans="1:16" x14ac:dyDescent="0.25">
      <c r="A69" t="s">
        <v>67</v>
      </c>
      <c r="B69">
        <v>9.6748174626644548E-2</v>
      </c>
      <c r="C69">
        <v>0.1103076040999194</v>
      </c>
      <c r="D69">
        <v>0.10213138171567808</v>
      </c>
      <c r="E69">
        <v>0.15744009510460721</v>
      </c>
      <c r="F69">
        <v>0.11753885891514521</v>
      </c>
      <c r="G69">
        <v>0.10572604022145402</v>
      </c>
      <c r="H69">
        <v>0.15180660929436382</v>
      </c>
      <c r="I69">
        <v>8.2567742007079503E-2</v>
      </c>
      <c r="J69">
        <v>8.4870094366123444E-2</v>
      </c>
      <c r="K69">
        <v>0.14914603509527191</v>
      </c>
      <c r="L69">
        <v>0.1444377431684033</v>
      </c>
      <c r="M69">
        <v>0.10628800667671744</v>
      </c>
      <c r="N69">
        <f t="shared" si="6"/>
        <v>1.0423603540439159</v>
      </c>
      <c r="O69">
        <f t="shared" si="7"/>
        <v>0.76813206334445217</v>
      </c>
      <c r="P69" s="1">
        <f t="shared" si="8"/>
        <v>4.2360354043915915</v>
      </c>
    </row>
    <row r="70" spans="1:16" x14ac:dyDescent="0.25">
      <c r="A70" t="s">
        <v>68</v>
      </c>
      <c r="B70">
        <v>0.11152171055282876</v>
      </c>
      <c r="C70">
        <v>7.9358196361852665E-2</v>
      </c>
      <c r="D70">
        <v>6.4717817676781905E-2</v>
      </c>
      <c r="E70">
        <v>9.8300630006282863E-2</v>
      </c>
      <c r="F70">
        <v>8.1887011828734577E-2</v>
      </c>
      <c r="G70">
        <v>6.2517999842446922E-2</v>
      </c>
      <c r="H70">
        <v>7.7383011582330005E-2</v>
      </c>
      <c r="I70">
        <v>5.9296294773272265E-2</v>
      </c>
      <c r="J70">
        <v>4.527509637048259E-2</v>
      </c>
      <c r="K70">
        <v>7.6735689133247201E-2</v>
      </c>
      <c r="L70">
        <v>0.15776827715557232</v>
      </c>
      <c r="M70">
        <v>4.7601442773536701E-2</v>
      </c>
      <c r="N70">
        <f t="shared" si="6"/>
        <v>0.93127970469698607</v>
      </c>
      <c r="O70">
        <f t="shared" si="7"/>
        <v>0.76943267221258727</v>
      </c>
      <c r="P70" s="1">
        <f t="shared" si="8"/>
        <v>-6.8720295303013934</v>
      </c>
    </row>
    <row r="71" spans="1:16" x14ac:dyDescent="0.25">
      <c r="A71" t="s">
        <v>69</v>
      </c>
      <c r="B71">
        <v>4.1039405925445962E-3</v>
      </c>
      <c r="C71">
        <v>2.1445894229144211E-3</v>
      </c>
      <c r="D71">
        <v>2.041665372534902E-3</v>
      </c>
      <c r="E71">
        <v>1.7635994542337466E-3</v>
      </c>
      <c r="F71">
        <v>5.7388100218450123E-3</v>
      </c>
      <c r="G71">
        <v>3.4651616440651454E-3</v>
      </c>
      <c r="H71">
        <v>5.6120253600851627E-3</v>
      </c>
      <c r="I71">
        <v>1.2023662195114779E-3</v>
      </c>
      <c r="J71">
        <v>3.3149148886139797E-3</v>
      </c>
      <c r="K71">
        <v>5.8461108241257258E-3</v>
      </c>
      <c r="L71">
        <v>2.5861406072996756E-3</v>
      </c>
      <c r="M71">
        <v>2.4677777832597956E-3</v>
      </c>
      <c r="N71">
        <f t="shared" si="6"/>
        <v>1.0919924527078142</v>
      </c>
      <c r="O71">
        <f t="shared" si="7"/>
        <v>0.77041026368426935</v>
      </c>
      <c r="P71" s="1">
        <f t="shared" si="8"/>
        <v>9.1992452707814198</v>
      </c>
    </row>
    <row r="72" spans="1:16" x14ac:dyDescent="0.25">
      <c r="A72" t="s">
        <v>70</v>
      </c>
      <c r="B72">
        <v>2.1997075307801692</v>
      </c>
      <c r="C72">
        <v>1.4924376199820564</v>
      </c>
      <c r="D72">
        <v>1.3369925837798218</v>
      </c>
      <c r="E72">
        <v>1.9300273672338901</v>
      </c>
      <c r="F72">
        <v>1.8228928661488109</v>
      </c>
      <c r="G72">
        <v>1.1842033373113146</v>
      </c>
      <c r="H72">
        <v>1.5557515172100924</v>
      </c>
      <c r="I72">
        <v>1.2037890736095012</v>
      </c>
      <c r="J72">
        <v>1.0475252264342043</v>
      </c>
      <c r="K72">
        <v>1.7469856422888701</v>
      </c>
      <c r="L72">
        <v>2.7198946570107148</v>
      </c>
      <c r="M72">
        <v>1.1708951526396965</v>
      </c>
      <c r="N72">
        <f t="shared" si="6"/>
        <v>0.9476814805398448</v>
      </c>
      <c r="O72">
        <f t="shared" si="7"/>
        <v>0.77787897755414348</v>
      </c>
      <c r="P72" s="1">
        <f t="shared" si="8"/>
        <v>-5.2318519460155199</v>
      </c>
    </row>
    <row r="73" spans="1:16" x14ac:dyDescent="0.25">
      <c r="A73" t="s">
        <v>71</v>
      </c>
      <c r="B73">
        <v>4.9128170635468427E-2</v>
      </c>
      <c r="C73">
        <v>3.9766818432211679E-2</v>
      </c>
      <c r="D73">
        <v>3.5063710037361355E-2</v>
      </c>
      <c r="E73">
        <v>6.363728380300962E-2</v>
      </c>
      <c r="F73">
        <v>6.8061062898827102E-2</v>
      </c>
      <c r="G73">
        <v>4.7597106724135911E-2</v>
      </c>
      <c r="H73">
        <v>4.692245441291968E-2</v>
      </c>
      <c r="I73">
        <v>3.4097972374410618E-2</v>
      </c>
      <c r="J73">
        <v>3.1042819843298486E-2</v>
      </c>
      <c r="K73">
        <v>8.2811019525894147E-2</v>
      </c>
      <c r="L73">
        <v>8.3174484964144549E-2</v>
      </c>
      <c r="M73">
        <v>4.2544044089065272E-2</v>
      </c>
      <c r="N73">
        <f t="shared" si="6"/>
        <v>1.0571752852648748</v>
      </c>
      <c r="O73">
        <f t="shared" si="7"/>
        <v>0.79955980612503019</v>
      </c>
      <c r="P73" s="1">
        <f t="shared" si="8"/>
        <v>5.7175285264874809</v>
      </c>
    </row>
    <row r="74" spans="1:16" x14ac:dyDescent="0.25">
      <c r="A74" t="s">
        <v>72</v>
      </c>
      <c r="B74">
        <v>1.1151392252988914E-2</v>
      </c>
      <c r="C74">
        <v>1.4137353327330543E-2</v>
      </c>
      <c r="D74">
        <v>1.0812912201097076E-2</v>
      </c>
      <c r="E74">
        <v>1.5239331253994908E-2</v>
      </c>
      <c r="F74">
        <v>1.3160693284675954E-2</v>
      </c>
      <c r="G74">
        <v>1.5584299953086411E-2</v>
      </c>
      <c r="H74">
        <v>1.4571950496989164E-2</v>
      </c>
      <c r="I74">
        <v>9.9542989993677694E-3</v>
      </c>
      <c r="J74">
        <v>1.059396691433364E-2</v>
      </c>
      <c r="K74">
        <v>1.287998410425284E-2</v>
      </c>
      <c r="L74">
        <v>1.3411068493399347E-2</v>
      </c>
      <c r="M74">
        <v>1.6861624810355684E-2</v>
      </c>
      <c r="N74">
        <f t="shared" si="6"/>
        <v>0.97736072652151673</v>
      </c>
      <c r="O74">
        <f t="shared" si="7"/>
        <v>0.82514296853771496</v>
      </c>
      <c r="P74" s="1">
        <f t="shared" si="8"/>
        <v>-2.2639273478483268</v>
      </c>
    </row>
    <row r="75" spans="1:16" x14ac:dyDescent="0.25">
      <c r="A75" t="s">
        <v>73</v>
      </c>
      <c r="B75">
        <v>0.25919119288718928</v>
      </c>
      <c r="C75">
        <v>0.21738321186191839</v>
      </c>
      <c r="D75">
        <v>0.17960622084220687</v>
      </c>
      <c r="E75">
        <v>0.28311401355456162</v>
      </c>
      <c r="F75">
        <v>0.23297065543222484</v>
      </c>
      <c r="G75">
        <v>0.21949721142216166</v>
      </c>
      <c r="H75">
        <v>0.27093018774538302</v>
      </c>
      <c r="I75">
        <v>0.17176174998956242</v>
      </c>
      <c r="J75">
        <v>0.16902531397531248</v>
      </c>
      <c r="K75">
        <v>0.25766102778159905</v>
      </c>
      <c r="L75">
        <v>0.33708063872762861</v>
      </c>
      <c r="M75">
        <v>0.22070009308082467</v>
      </c>
      <c r="N75">
        <f t="shared" si="6"/>
        <v>1.0254328631123801</v>
      </c>
      <c r="O75">
        <f t="shared" si="7"/>
        <v>0.8496515869445187</v>
      </c>
      <c r="P75" s="1">
        <f t="shared" si="8"/>
        <v>2.5432863112380133</v>
      </c>
    </row>
    <row r="76" spans="1:16" x14ac:dyDescent="0.25">
      <c r="A76" t="s">
        <v>74</v>
      </c>
      <c r="B76">
        <v>8.2275965129389728E-2</v>
      </c>
      <c r="C76">
        <v>6.4809871800623794E-2</v>
      </c>
      <c r="D76">
        <v>6.6671629705883709E-2</v>
      </c>
      <c r="E76">
        <v>0.11456210455585665</v>
      </c>
      <c r="F76">
        <v>9.5657323695623894E-2</v>
      </c>
      <c r="G76">
        <v>0.10145387166696078</v>
      </c>
      <c r="H76">
        <v>7.4077615585753306E-2</v>
      </c>
      <c r="I76">
        <v>6.7049046679564725E-2</v>
      </c>
      <c r="J76">
        <v>6.3896257310515001E-2</v>
      </c>
      <c r="K76">
        <v>0.1023918487752101</v>
      </c>
      <c r="L76">
        <v>0.1201657197368482</v>
      </c>
      <c r="M76">
        <v>8.435009818702216E-2</v>
      </c>
      <c r="N76">
        <f t="shared" si="6"/>
        <v>0.97430645265035332</v>
      </c>
      <c r="O76">
        <f t="shared" si="7"/>
        <v>0.85628811029036733</v>
      </c>
      <c r="P76" s="1">
        <f t="shared" si="8"/>
        <v>-2.5693547349646684</v>
      </c>
    </row>
    <row r="77" spans="1:16" x14ac:dyDescent="0.25">
      <c r="A77" t="s">
        <v>75</v>
      </c>
      <c r="B77">
        <v>8.850191891569735E-3</v>
      </c>
      <c r="C77">
        <v>4.7544510583102583E-3</v>
      </c>
      <c r="D77">
        <v>3.3542413876038605E-3</v>
      </c>
      <c r="E77">
        <v>6.0594949687932135E-3</v>
      </c>
      <c r="F77">
        <v>2.3027485270616993E-3</v>
      </c>
      <c r="G77">
        <v>3.2342542570237744E-3</v>
      </c>
      <c r="H77">
        <v>6.057310865054912E-3</v>
      </c>
      <c r="I77">
        <v>2.7060974775706069E-3</v>
      </c>
      <c r="J77">
        <v>2.2379008579325402E-3</v>
      </c>
      <c r="K77">
        <v>4.8142052007251693E-3</v>
      </c>
      <c r="L77">
        <v>1.2945684522553506E-2</v>
      </c>
      <c r="M77">
        <v>1.770589784024799E-3</v>
      </c>
      <c r="N77">
        <f t="shared" si="6"/>
        <v>1.0692131035489112</v>
      </c>
      <c r="O77">
        <f t="shared" si="7"/>
        <v>0.8713145873241519</v>
      </c>
      <c r="P77" s="1">
        <f t="shared" si="8"/>
        <v>6.9213103548911192</v>
      </c>
    </row>
    <row r="78" spans="1:16" x14ac:dyDescent="0.25">
      <c r="A78" t="s">
        <v>76</v>
      </c>
      <c r="B78">
        <v>2.9338485489545346E-2</v>
      </c>
      <c r="C78">
        <v>2.0044252300151177E-2</v>
      </c>
      <c r="D78">
        <v>1.8693338481161829E-2</v>
      </c>
      <c r="E78">
        <v>2.3886419424501308E-2</v>
      </c>
      <c r="F78">
        <v>2.4425022706848518E-2</v>
      </c>
      <c r="G78">
        <v>1.6493555787120851E-2</v>
      </c>
      <c r="H78">
        <v>3.1099922116522891E-2</v>
      </c>
      <c r="I78">
        <v>1.7984159372774148E-2</v>
      </c>
      <c r="J78">
        <v>1.9801853151531282E-2</v>
      </c>
      <c r="K78">
        <v>2.3731558583965334E-2</v>
      </c>
      <c r="L78">
        <v>2.0937601659573302E-2</v>
      </c>
      <c r="M78">
        <v>1.7326185520358358E-2</v>
      </c>
      <c r="N78">
        <f t="shared" si="6"/>
        <v>0.98495049955906855</v>
      </c>
      <c r="O78">
        <f t="shared" si="7"/>
        <v>0.90812197192176491</v>
      </c>
      <c r="P78" s="1">
        <f t="shared" si="8"/>
        <v>-1.5049500440931451</v>
      </c>
    </row>
    <row r="79" spans="1:16" x14ac:dyDescent="0.25">
      <c r="A79" t="s">
        <v>77</v>
      </c>
      <c r="B79">
        <v>2.6298180981053315E-3</v>
      </c>
      <c r="C79">
        <v>1.5999985529848927E-3</v>
      </c>
      <c r="D79">
        <v>1.5591997303482518E-3</v>
      </c>
      <c r="E79">
        <v>1.5148860597910909E-3</v>
      </c>
      <c r="F79">
        <v>9.4145364851691744E-4</v>
      </c>
      <c r="G79">
        <v>1.3972853707440165E-3</v>
      </c>
      <c r="H79">
        <v>2.0248419052841067E-3</v>
      </c>
      <c r="I79">
        <v>1.4220365526825464E-3</v>
      </c>
      <c r="J79">
        <v>1.2600910676255704E-3</v>
      </c>
      <c r="K79">
        <v>2.0045592656547434E-3</v>
      </c>
      <c r="L79">
        <v>2.179547139725816E-3</v>
      </c>
      <c r="M79">
        <v>8.9514494392799388E-4</v>
      </c>
      <c r="N79">
        <f t="shared" si="6"/>
        <v>1.0148900500966023</v>
      </c>
      <c r="O79">
        <f t="shared" si="7"/>
        <v>0.93978457047453878</v>
      </c>
      <c r="P79" s="1">
        <f t="shared" si="8"/>
        <v>1.489005009660227</v>
      </c>
    </row>
    <row r="80" spans="1:16" x14ac:dyDescent="0.25">
      <c r="A80" t="s">
        <v>78</v>
      </c>
      <c r="B80">
        <v>3.932159245832516E-3</v>
      </c>
      <c r="C80">
        <v>3.4806187805772075E-3</v>
      </c>
      <c r="D80">
        <v>2.9754911075899572E-3</v>
      </c>
      <c r="E80">
        <v>4.2308224475193995E-3</v>
      </c>
      <c r="F80">
        <v>4.3968704585517987E-3</v>
      </c>
      <c r="G80">
        <v>3.3074494951684827E-3</v>
      </c>
      <c r="H80">
        <v>5.4710779347506965E-3</v>
      </c>
      <c r="I80">
        <v>2.699050692284953E-3</v>
      </c>
      <c r="J80">
        <v>2.4293004616434436E-3</v>
      </c>
      <c r="K80">
        <v>3.2185766242556102E-3</v>
      </c>
      <c r="L80">
        <v>4.9324662662711266E-3</v>
      </c>
      <c r="M80">
        <v>3.3563952543158092E-3</v>
      </c>
      <c r="N80">
        <f t="shared" si="6"/>
        <v>0.99029967702849131</v>
      </c>
      <c r="O80">
        <f t="shared" si="7"/>
        <v>0.94978108107659798</v>
      </c>
      <c r="P80" s="1">
        <f t="shared" si="8"/>
        <v>-0.97003229715086903</v>
      </c>
    </row>
    <row r="81" spans="1:16" x14ac:dyDescent="0.25">
      <c r="A81" t="s">
        <v>79</v>
      </c>
      <c r="B81">
        <v>0.24192703156352705</v>
      </c>
      <c r="C81">
        <v>0.2076291038226396</v>
      </c>
      <c r="D81">
        <v>0.17761880417094295</v>
      </c>
      <c r="E81">
        <v>0.27323752303960969</v>
      </c>
      <c r="F81">
        <v>0.21369264100352903</v>
      </c>
      <c r="G81">
        <v>0.2106061399336519</v>
      </c>
      <c r="H81">
        <v>0.25571436935612429</v>
      </c>
      <c r="I81">
        <v>0.16157749219978584</v>
      </c>
      <c r="J81">
        <v>0.15658342897978786</v>
      </c>
      <c r="K81">
        <v>0.23883884731845889</v>
      </c>
      <c r="L81">
        <v>0.30091252047424827</v>
      </c>
      <c r="M81">
        <v>0.20079467012201621</v>
      </c>
      <c r="N81">
        <f t="shared" si="6"/>
        <v>0.99223233354913742</v>
      </c>
      <c r="O81">
        <f t="shared" si="7"/>
        <v>0.95033032550197483</v>
      </c>
      <c r="P81" s="1">
        <f t="shared" si="8"/>
        <v>-0.77676664508625759</v>
      </c>
    </row>
    <row r="82" spans="1:16" x14ac:dyDescent="0.25">
      <c r="A82" t="s">
        <v>80</v>
      </c>
      <c r="B82">
        <v>2.2551111478836813E-2</v>
      </c>
      <c r="C82">
        <v>1.6560958820366786E-2</v>
      </c>
      <c r="D82">
        <v>1.8787462441992718E-2</v>
      </c>
      <c r="E82">
        <v>2.4721227132776379E-2</v>
      </c>
      <c r="F82">
        <v>2.0668069118877832E-2</v>
      </c>
      <c r="G82">
        <v>1.4183898781169635E-2</v>
      </c>
      <c r="H82">
        <v>2.6910007037960971E-2</v>
      </c>
      <c r="I82">
        <v>1.439979650239716E-2</v>
      </c>
      <c r="J82">
        <v>1.6106738458015257E-2</v>
      </c>
      <c r="K82">
        <v>2.1437521339237639E-2</v>
      </c>
      <c r="L82">
        <v>2.1483582481289488E-2</v>
      </c>
      <c r="M82">
        <v>1.7540470206407848E-2</v>
      </c>
      <c r="N82">
        <f t="shared" si="6"/>
        <v>1.003450913747981</v>
      </c>
      <c r="O82">
        <f t="shared" si="7"/>
        <v>0.97849935196756932</v>
      </c>
      <c r="P82" s="1">
        <f t="shared" si="8"/>
        <v>0.34509137479810104</v>
      </c>
    </row>
    <row r="83" spans="1:16" x14ac:dyDescent="0.25">
      <c r="A83" t="s">
        <v>81</v>
      </c>
      <c r="B83">
        <v>0.25195261015139214</v>
      </c>
      <c r="C83">
        <v>0.18843402282375329</v>
      </c>
      <c r="D83">
        <v>0.1656393476911667</v>
      </c>
      <c r="E83">
        <v>0.18570241610440963</v>
      </c>
      <c r="F83">
        <v>0.19889642246358138</v>
      </c>
      <c r="G83">
        <v>0.15698246991832279</v>
      </c>
      <c r="H83">
        <v>0.21976267090414117</v>
      </c>
      <c r="I83">
        <v>0.13579495640444442</v>
      </c>
      <c r="J83">
        <v>0.14103935974497589</v>
      </c>
      <c r="K83">
        <v>0.20823624055809115</v>
      </c>
      <c r="L83">
        <v>0.2627621138128553</v>
      </c>
      <c r="M83">
        <v>0.17612275042248132</v>
      </c>
      <c r="N83">
        <f t="shared" si="6"/>
        <v>0.99661103816401464</v>
      </c>
      <c r="O83">
        <f t="shared" si="7"/>
        <v>0.97927458288189739</v>
      </c>
      <c r="P83" s="1">
        <f t="shared" si="8"/>
        <v>-0.33889618359853602</v>
      </c>
    </row>
    <row r="84" spans="1:16" x14ac:dyDescent="0.25">
      <c r="A84" t="s">
        <v>82</v>
      </c>
      <c r="B84">
        <v>1.7102052222771544E-2</v>
      </c>
      <c r="C84">
        <v>1.1210437736760342E-2</v>
      </c>
      <c r="D84">
        <v>8.3169653142055166E-3</v>
      </c>
      <c r="E84">
        <v>2.1752901623004244E-2</v>
      </c>
      <c r="F84">
        <v>1.2755793701757133E-2</v>
      </c>
      <c r="G84">
        <v>1.0774032601492222E-2</v>
      </c>
      <c r="H84">
        <v>1.3733093094665316E-2</v>
      </c>
      <c r="I84">
        <v>8.6568263303805296E-3</v>
      </c>
      <c r="J84">
        <v>6.5893048457483037E-3</v>
      </c>
      <c r="K84">
        <v>1.7748873683009068E-2</v>
      </c>
      <c r="L84">
        <v>2.6552958655108941E-2</v>
      </c>
      <c r="M84">
        <v>9.0597917679461903E-3</v>
      </c>
      <c r="N84">
        <f t="shared" si="6"/>
        <v>1.0052332285640677</v>
      </c>
      <c r="O84">
        <f t="shared" si="7"/>
        <v>0.98483651932071004</v>
      </c>
      <c r="P84" s="1">
        <f t="shared" si="8"/>
        <v>0.52332285640677156</v>
      </c>
    </row>
    <row r="85" spans="1:16" x14ac:dyDescent="0.25">
      <c r="A85" t="s">
        <v>83</v>
      </c>
      <c r="B85">
        <v>0.17405878928464621</v>
      </c>
      <c r="C85">
        <v>0.16642303528632357</v>
      </c>
      <c r="D85">
        <v>0.11486250942124863</v>
      </c>
      <c r="E85">
        <v>0.15206976592373933</v>
      </c>
      <c r="F85">
        <v>0.1336431266870704</v>
      </c>
      <c r="G85">
        <v>0.12013991484784592</v>
      </c>
      <c r="H85">
        <v>0.16587748772942892</v>
      </c>
      <c r="I85">
        <v>9.9125307250117409E-2</v>
      </c>
      <c r="J85">
        <v>0.10147526095893282</v>
      </c>
      <c r="K85">
        <v>0.14463797171929038</v>
      </c>
      <c r="L85">
        <v>0.26008452821871886</v>
      </c>
      <c r="M85">
        <v>9.0108998991213024E-2</v>
      </c>
      <c r="N85">
        <f t="shared" si="6"/>
        <v>1.0001305315721762</v>
      </c>
      <c r="O85">
        <f t="shared" si="7"/>
        <v>0.99948811788669967</v>
      </c>
      <c r="P85" s="1">
        <f t="shared" si="8"/>
        <v>1.3053157217624012E-2</v>
      </c>
    </row>
  </sheetData>
  <sortState xmlns:xlrd2="http://schemas.microsoft.com/office/spreadsheetml/2017/richdata2" ref="A2:P86">
    <sortCondition ref="O1:O86"/>
  </sortState>
  <phoneticPr fontId="2" type="noConversion"/>
  <pageMargins left="0.7" right="0.7" top="0.75" bottom="0.75" header="0.3" footer="0.3"/>
  <pageSetup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AC12-F7D6-45A6-8978-152EBCC9B0E9}">
  <dimension ref="A1:F14"/>
  <sheetViews>
    <sheetView workbookViewId="0"/>
  </sheetViews>
  <sheetFormatPr defaultRowHeight="15" x14ac:dyDescent="0.25"/>
  <cols>
    <col min="1" max="1" width="19.7109375" customWidth="1"/>
  </cols>
  <sheetData>
    <row r="1" spans="1:6" ht="24.75" customHeight="1" thickBot="1" x14ac:dyDescent="0.3">
      <c r="A1" s="2" t="s">
        <v>99</v>
      </c>
      <c r="B1" s="3" t="s">
        <v>100</v>
      </c>
      <c r="C1" s="3" t="s">
        <v>101</v>
      </c>
      <c r="D1" s="3" t="s">
        <v>102</v>
      </c>
      <c r="E1" s="3" t="s">
        <v>103</v>
      </c>
      <c r="F1" s="4" t="s">
        <v>104</v>
      </c>
    </row>
    <row r="2" spans="1:6" ht="15.75" thickBot="1" x14ac:dyDescent="0.3">
      <c r="A2" s="5" t="s">
        <v>105</v>
      </c>
      <c r="B2" s="6" t="s">
        <v>106</v>
      </c>
      <c r="C2" s="5" t="s">
        <v>87</v>
      </c>
      <c r="D2" s="5" t="s">
        <v>107</v>
      </c>
      <c r="E2" s="5" t="s">
        <v>108</v>
      </c>
      <c r="F2" s="5">
        <v>1</v>
      </c>
    </row>
    <row r="3" spans="1:6" ht="15.75" thickBot="1" x14ac:dyDescent="0.3">
      <c r="A3" s="5" t="s">
        <v>109</v>
      </c>
      <c r="B3" s="6" t="s">
        <v>110</v>
      </c>
      <c r="C3" s="5" t="s">
        <v>88</v>
      </c>
      <c r="D3" s="5" t="s">
        <v>107</v>
      </c>
      <c r="E3" s="5" t="s">
        <v>108</v>
      </c>
      <c r="F3" s="5">
        <v>2</v>
      </c>
    </row>
    <row r="4" spans="1:6" ht="15.75" thickBot="1" x14ac:dyDescent="0.3">
      <c r="A4" s="5" t="s">
        <v>111</v>
      </c>
      <c r="B4" s="6" t="s">
        <v>112</v>
      </c>
      <c r="C4" s="5" t="s">
        <v>89</v>
      </c>
      <c r="D4" s="5" t="s">
        <v>107</v>
      </c>
      <c r="E4" s="5" t="s">
        <v>108</v>
      </c>
      <c r="F4" s="5">
        <v>3</v>
      </c>
    </row>
    <row r="5" spans="1:6" ht="15.75" thickBot="1" x14ac:dyDescent="0.3">
      <c r="A5" s="5" t="s">
        <v>113</v>
      </c>
      <c r="B5" s="6" t="s">
        <v>114</v>
      </c>
      <c r="C5" s="5" t="s">
        <v>90</v>
      </c>
      <c r="D5" s="5" t="s">
        <v>107</v>
      </c>
      <c r="E5" s="5" t="s">
        <v>115</v>
      </c>
      <c r="F5" s="5">
        <v>1</v>
      </c>
    </row>
    <row r="6" spans="1:6" ht="15.75" thickBot="1" x14ac:dyDescent="0.3">
      <c r="A6" s="5" t="s">
        <v>116</v>
      </c>
      <c r="B6" s="6" t="s">
        <v>117</v>
      </c>
      <c r="C6" s="5" t="s">
        <v>91</v>
      </c>
      <c r="D6" s="5" t="s">
        <v>107</v>
      </c>
      <c r="E6" s="5" t="s">
        <v>115</v>
      </c>
      <c r="F6" s="5">
        <v>2</v>
      </c>
    </row>
    <row r="7" spans="1:6" ht="15.75" thickBot="1" x14ac:dyDescent="0.3">
      <c r="A7" s="5" t="s">
        <v>118</v>
      </c>
      <c r="B7" s="6" t="s">
        <v>119</v>
      </c>
      <c r="C7" s="5" t="s">
        <v>92</v>
      </c>
      <c r="D7" s="5" t="s">
        <v>107</v>
      </c>
      <c r="E7" s="5" t="s">
        <v>115</v>
      </c>
      <c r="F7" s="5">
        <v>3</v>
      </c>
    </row>
    <row r="8" spans="1:6" ht="15.75" thickBot="1" x14ac:dyDescent="0.3">
      <c r="A8" s="5" t="s">
        <v>120</v>
      </c>
      <c r="B8" s="6" t="s">
        <v>121</v>
      </c>
      <c r="C8" s="5" t="s">
        <v>93</v>
      </c>
      <c r="D8" s="5" t="s">
        <v>122</v>
      </c>
      <c r="E8" s="5" t="s">
        <v>108</v>
      </c>
      <c r="F8" s="5">
        <v>1</v>
      </c>
    </row>
    <row r="9" spans="1:6" ht="15.75" thickBot="1" x14ac:dyDescent="0.3">
      <c r="A9" s="5" t="s">
        <v>123</v>
      </c>
      <c r="B9" s="6" t="s">
        <v>124</v>
      </c>
      <c r="C9" s="5" t="s">
        <v>94</v>
      </c>
      <c r="D9" s="5" t="s">
        <v>122</v>
      </c>
      <c r="E9" s="5" t="s">
        <v>108</v>
      </c>
      <c r="F9" s="5">
        <v>2</v>
      </c>
    </row>
    <row r="10" spans="1:6" ht="15.75" thickBot="1" x14ac:dyDescent="0.3">
      <c r="A10" s="5" t="s">
        <v>125</v>
      </c>
      <c r="B10" s="6" t="s">
        <v>126</v>
      </c>
      <c r="C10" s="5" t="s">
        <v>95</v>
      </c>
      <c r="D10" s="5" t="s">
        <v>122</v>
      </c>
      <c r="E10" s="5" t="s">
        <v>108</v>
      </c>
      <c r="F10" s="5">
        <v>3</v>
      </c>
    </row>
    <row r="11" spans="1:6" ht="15.75" thickBot="1" x14ac:dyDescent="0.3">
      <c r="A11" s="5" t="s">
        <v>127</v>
      </c>
      <c r="B11" s="6" t="s">
        <v>128</v>
      </c>
      <c r="C11" s="5" t="s">
        <v>96</v>
      </c>
      <c r="D11" s="5" t="s">
        <v>122</v>
      </c>
      <c r="E11" s="5" t="s">
        <v>115</v>
      </c>
      <c r="F11" s="5">
        <v>1</v>
      </c>
    </row>
    <row r="12" spans="1:6" ht="15.75" thickBot="1" x14ac:dyDescent="0.3">
      <c r="A12" s="5" t="s">
        <v>129</v>
      </c>
      <c r="B12" s="6" t="s">
        <v>130</v>
      </c>
      <c r="C12" s="5" t="s">
        <v>97</v>
      </c>
      <c r="D12" s="5" t="s">
        <v>122</v>
      </c>
      <c r="E12" s="5" t="s">
        <v>115</v>
      </c>
      <c r="F12" s="5">
        <v>2</v>
      </c>
    </row>
    <row r="13" spans="1:6" ht="15.75" thickBot="1" x14ac:dyDescent="0.3">
      <c r="A13" s="7" t="s">
        <v>131</v>
      </c>
      <c r="B13" s="8" t="s">
        <v>132</v>
      </c>
      <c r="C13" s="7" t="s">
        <v>98</v>
      </c>
      <c r="D13" s="7" t="s">
        <v>122</v>
      </c>
      <c r="E13" s="7" t="s">
        <v>115</v>
      </c>
      <c r="F13" s="7">
        <v>3</v>
      </c>
    </row>
    <row r="14" spans="1:6" ht="15.75" x14ac:dyDescent="0.25">
      <c r="A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LipidMapsSD data</vt:lpstr>
      <vt:lpstr>Sample_Metadata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Niethammer, Philipp</dc:creator>
  <cp:lastModifiedBy>Gelashvili, Zaza</cp:lastModifiedBy>
  <dcterms:created xsi:type="dcterms:W3CDTF">2025-01-16T18:50:21Z</dcterms:created>
  <dcterms:modified xsi:type="dcterms:W3CDTF">2026-08-19T08:27:15Z</dcterms:modified>
</cp:coreProperties>
</file>